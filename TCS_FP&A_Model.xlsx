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tables/table14.xml" ContentType="application/vnd.openxmlformats-officedocument.spreadsheetml.table+xml"/>
  <Override PartName="/xl/tables/table15.xml" ContentType="application/vnd.openxmlformats-officedocument.spreadsheetml.table+xml"/>
  <Override PartName="/xl/comments2.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8a6b3267934aa48/Documents/"/>
    </mc:Choice>
  </mc:AlternateContent>
  <xr:revisionPtr revIDLastSave="4665" documentId="8_{DAF19FF7-7939-47DF-9984-A8E86846F05B}" xr6:coauthVersionLast="47" xr6:coauthVersionMax="47" xr10:uidLastSave="{0BAAB30E-82C9-49B3-9DD4-C04F5247F83E}"/>
  <bookViews>
    <workbookView xWindow="-108" yWindow="-108" windowWidth="23256" windowHeight="12456" tabRatio="832" activeTab="1" xr2:uid="{E1DFCB58-A6F3-4383-A86D-00849A53AF4A}"/>
  </bookViews>
  <sheets>
    <sheet name="cover" sheetId="1" r:id="rId1"/>
    <sheet name="dashboard" sheetId="11" r:id="rId2"/>
    <sheet name="HISTORICAL FINANCIALS" sheetId="3" r:id="rId3"/>
    <sheet name="FINANCIAL ANALYSIS" sheetId="13" r:id="rId4"/>
    <sheet name="ASSUMPTIONS &amp; METHODOLOGY" sheetId="2" r:id="rId5"/>
    <sheet name="FORECAST ASSUMPTIONS" sheetId="7" r:id="rId6"/>
    <sheet name="FINANCIAL FORECAST" sheetId="9" r:id="rId7"/>
    <sheet name="Forecast Variance Analysis" sheetId="10" r:id="rId8"/>
    <sheet name="Conclusions &amp; Interpretations" sheetId="12" r:id="rId9"/>
  </sheets>
  <definedNames>
    <definedName name="_xlnm.Print_Area" localSheetId="1">dashboard!$A$1:$S$38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9" l="1"/>
  <c r="C4" i="9"/>
  <c r="E31" i="10"/>
  <c r="A32" i="10"/>
  <c r="A31" i="10"/>
  <c r="A30" i="10"/>
  <c r="A24" i="10"/>
  <c r="A26" i="10"/>
  <c r="A23" i="10"/>
  <c r="A19" i="10"/>
  <c r="A13" i="10"/>
  <c r="A18" i="10"/>
  <c r="A17" i="10"/>
  <c r="A8" i="10"/>
  <c r="A9" i="10"/>
  <c r="A10" i="10"/>
  <c r="A11" i="10"/>
  <c r="A12" i="10"/>
  <c r="A4" i="10"/>
  <c r="B19" i="9"/>
  <c r="B25" i="10" s="1"/>
  <c r="A19" i="9"/>
  <c r="A25" i="10" s="1"/>
  <c r="F24" i="13"/>
  <c r="E24" i="13"/>
  <c r="D24" i="13"/>
  <c r="C24" i="13"/>
  <c r="B24" i="13"/>
  <c r="B5" i="9"/>
  <c r="B8" i="10" s="1"/>
  <c r="A94" i="13"/>
  <c r="A93" i="13"/>
  <c r="A73" i="13"/>
  <c r="A72" i="13"/>
  <c r="A71" i="13"/>
  <c r="C63" i="13"/>
  <c r="D63" i="13"/>
  <c r="E63" i="13"/>
  <c r="F63" i="13"/>
  <c r="B27" i="9" s="1"/>
  <c r="B31" i="10" s="1"/>
  <c r="B63" i="13"/>
  <c r="D62" i="13"/>
  <c r="C51" i="13"/>
  <c r="D51" i="13"/>
  <c r="E51" i="13"/>
  <c r="F51" i="13"/>
  <c r="F56" i="13" s="1"/>
  <c r="B13" i="7" s="1"/>
  <c r="B51" i="13"/>
  <c r="C50" i="13"/>
  <c r="D50" i="13"/>
  <c r="E50" i="13"/>
  <c r="F50" i="13"/>
  <c r="B18" i="9" s="1"/>
  <c r="B24" i="10" s="1"/>
  <c r="B50" i="13"/>
  <c r="B49" i="13"/>
  <c r="C49" i="13"/>
  <c r="D49" i="13"/>
  <c r="E49" i="13"/>
  <c r="F49" i="13"/>
  <c r="C48" i="13"/>
  <c r="D48" i="13"/>
  <c r="E48" i="13"/>
  <c r="F48" i="13"/>
  <c r="B17" i="9" s="1"/>
  <c r="B48" i="13"/>
  <c r="C44" i="13"/>
  <c r="D44" i="13"/>
  <c r="E44" i="13"/>
  <c r="F44" i="13"/>
  <c r="B44" i="13"/>
  <c r="C43" i="13"/>
  <c r="D43" i="13"/>
  <c r="E43" i="13"/>
  <c r="F43" i="13"/>
  <c r="B43" i="13"/>
  <c r="B42" i="13"/>
  <c r="E41" i="13"/>
  <c r="B32" i="13"/>
  <c r="C32" i="13"/>
  <c r="D32" i="13"/>
  <c r="E32" i="13"/>
  <c r="F32" i="13"/>
  <c r="B12" i="9" s="1"/>
  <c r="B13" i="10" s="1"/>
  <c r="B29" i="13"/>
  <c r="C29" i="13"/>
  <c r="D29" i="13"/>
  <c r="E29" i="13"/>
  <c r="F29" i="13"/>
  <c r="A29" i="13"/>
  <c r="A32" i="13"/>
  <c r="A28" i="13"/>
  <c r="C20" i="13"/>
  <c r="D20" i="13"/>
  <c r="E20" i="13"/>
  <c r="F20" i="13"/>
  <c r="B9" i="9" s="1"/>
  <c r="B12" i="10" s="1"/>
  <c r="C18" i="13"/>
  <c r="D18" i="13"/>
  <c r="E18" i="13"/>
  <c r="F18" i="13"/>
  <c r="B8" i="9" s="1"/>
  <c r="B11" i="10" s="1"/>
  <c r="C16" i="13"/>
  <c r="D16" i="13"/>
  <c r="E16" i="13"/>
  <c r="F16" i="13"/>
  <c r="B7" i="9" s="1"/>
  <c r="B10" i="10" s="1"/>
  <c r="C14" i="13"/>
  <c r="D14" i="13"/>
  <c r="E14" i="13"/>
  <c r="F14" i="13"/>
  <c r="B6" i="9" s="1"/>
  <c r="B9" i="10" s="1"/>
  <c r="B22" i="13"/>
  <c r="B4" i="11" s="1"/>
  <c r="B20" i="13"/>
  <c r="B18" i="13"/>
  <c r="B16" i="13"/>
  <c r="B14" i="13"/>
  <c r="C12" i="13"/>
  <c r="D12" i="13"/>
  <c r="E12" i="13"/>
  <c r="F12" i="13"/>
  <c r="B12" i="13"/>
  <c r="A12" i="13"/>
  <c r="A20" i="13"/>
  <c r="A18" i="13"/>
  <c r="A14" i="13"/>
  <c r="A16" i="13"/>
  <c r="C6" i="13"/>
  <c r="D6" i="13"/>
  <c r="E6" i="13"/>
  <c r="F6" i="13"/>
  <c r="B6" i="13"/>
  <c r="C4" i="13"/>
  <c r="C3" i="11" s="1"/>
  <c r="D4" i="13"/>
  <c r="D3" i="11" s="1"/>
  <c r="E4" i="13"/>
  <c r="E3" i="11" s="1"/>
  <c r="F4" i="13"/>
  <c r="B4" i="13"/>
  <c r="B3" i="11" s="1"/>
  <c r="D145" i="3"/>
  <c r="F145" i="3"/>
  <c r="E145" i="3"/>
  <c r="E42" i="13" s="1"/>
  <c r="F96" i="3"/>
  <c r="E96" i="3"/>
  <c r="F85" i="3"/>
  <c r="F62" i="13" s="1"/>
  <c r="E85" i="3"/>
  <c r="E62" i="13" s="1"/>
  <c r="F72" i="3"/>
  <c r="F61" i="13" s="1"/>
  <c r="E72" i="3"/>
  <c r="E61" i="13" s="1"/>
  <c r="D72" i="3"/>
  <c r="D61" i="13" s="1"/>
  <c r="C72" i="3"/>
  <c r="C61" i="13" s="1"/>
  <c r="B72" i="3"/>
  <c r="B61" i="13" s="1"/>
  <c r="F40" i="3"/>
  <c r="F51" i="3" s="1"/>
  <c r="F53" i="3" s="1"/>
  <c r="F60" i="13" s="1"/>
  <c r="B26" i="9" s="1"/>
  <c r="B30" i="10" s="1"/>
  <c r="E40" i="3"/>
  <c r="E51" i="3" s="1"/>
  <c r="E53" i="3" s="1"/>
  <c r="E60" i="13" s="1"/>
  <c r="E98" i="13" s="1"/>
  <c r="F156" i="3"/>
  <c r="E156" i="3"/>
  <c r="E79" i="13" s="1"/>
  <c r="E136" i="3"/>
  <c r="F136" i="3"/>
  <c r="F41" i="13" s="1"/>
  <c r="F129" i="3"/>
  <c r="E129" i="3"/>
  <c r="E78" i="13" s="1"/>
  <c r="F116" i="3"/>
  <c r="E116" i="3"/>
  <c r="E130" i="3" s="1"/>
  <c r="E40" i="13" s="1"/>
  <c r="D9" i="3"/>
  <c r="D7" i="13" s="1"/>
  <c r="D156" i="3"/>
  <c r="D79" i="13" s="1"/>
  <c r="C156" i="3"/>
  <c r="C79" i="13" s="1"/>
  <c r="C145" i="3"/>
  <c r="C42" i="13" s="1"/>
  <c r="D136" i="3"/>
  <c r="D41" i="13" s="1"/>
  <c r="C136" i="3"/>
  <c r="C41" i="13" s="1"/>
  <c r="D129" i="3"/>
  <c r="D52" i="13" s="1"/>
  <c r="C129" i="3"/>
  <c r="D116" i="3"/>
  <c r="C116" i="3"/>
  <c r="D96" i="3"/>
  <c r="D85" i="3"/>
  <c r="C96" i="3"/>
  <c r="C85" i="3"/>
  <c r="C62" i="13" s="1"/>
  <c r="D40" i="3"/>
  <c r="D51" i="3" s="1"/>
  <c r="D53" i="3" s="1"/>
  <c r="D60" i="13" s="1"/>
  <c r="D7" i="11" s="1"/>
  <c r="C40" i="3"/>
  <c r="C51" i="3" s="1"/>
  <c r="C53" i="3" s="1"/>
  <c r="C60" i="13" s="1"/>
  <c r="C7" i="11" s="1"/>
  <c r="F16" i="3"/>
  <c r="F22" i="13" s="1"/>
  <c r="F4" i="11" s="1"/>
  <c r="F9" i="3"/>
  <c r="F7" i="13" s="1"/>
  <c r="E16" i="3"/>
  <c r="E22" i="13" s="1"/>
  <c r="E4" i="11" s="1"/>
  <c r="E9" i="3"/>
  <c r="D16" i="3"/>
  <c r="D22" i="13" s="1"/>
  <c r="D4" i="11" s="1"/>
  <c r="C9" i="3"/>
  <c r="C7" i="13" s="1"/>
  <c r="C16" i="3"/>
  <c r="C22" i="13" s="1"/>
  <c r="C4" i="11" s="1"/>
  <c r="B85" i="3"/>
  <c r="B62" i="13" s="1"/>
  <c r="B96" i="3"/>
  <c r="B40" i="3"/>
  <c r="B51" i="3" s="1"/>
  <c r="B53" i="3" s="1"/>
  <c r="B60" i="13" s="1"/>
  <c r="B7" i="11" s="1"/>
  <c r="B156" i="3"/>
  <c r="B79" i="13" s="1"/>
  <c r="B145" i="3"/>
  <c r="B136" i="3"/>
  <c r="B41" i="13" s="1"/>
  <c r="B129" i="3"/>
  <c r="B77" i="13" s="1"/>
  <c r="B116" i="3"/>
  <c r="B16" i="3"/>
  <c r="B9" i="3"/>
  <c r="B7" i="13" s="1"/>
  <c r="G3" i="11" l="1"/>
  <c r="C56" i="13"/>
  <c r="F3" i="11"/>
  <c r="F7" i="11"/>
  <c r="E7" i="11"/>
  <c r="B20" i="9"/>
  <c r="B26" i="10" s="1"/>
  <c r="B56" i="13"/>
  <c r="D9" i="7"/>
  <c r="C4" i="10"/>
  <c r="B23" i="10"/>
  <c r="E56" i="13"/>
  <c r="D13" i="7" s="1"/>
  <c r="C19" i="9" s="1"/>
  <c r="C25" i="10" s="1"/>
  <c r="D25" i="10" s="1"/>
  <c r="C8" i="13"/>
  <c r="D56" i="13"/>
  <c r="E77" i="13"/>
  <c r="D98" i="13"/>
  <c r="B52" i="13"/>
  <c r="B78" i="13"/>
  <c r="D42" i="13"/>
  <c r="E52" i="13"/>
  <c r="D77" i="13"/>
  <c r="F77" i="13"/>
  <c r="C98" i="13"/>
  <c r="C52" i="13"/>
  <c r="C77" i="13"/>
  <c r="F78" i="13"/>
  <c r="B4" i="9"/>
  <c r="B4" i="10" s="1"/>
  <c r="F42" i="13"/>
  <c r="E5" i="13"/>
  <c r="F52" i="13"/>
  <c r="D78" i="13"/>
  <c r="C78" i="13"/>
  <c r="F79" i="13"/>
  <c r="B12" i="7"/>
  <c r="D12" i="7" s="1"/>
  <c r="C27" i="9" s="1"/>
  <c r="C31" i="10" s="1"/>
  <c r="D31" i="10" s="1"/>
  <c r="F31" i="10" s="1"/>
  <c r="E18" i="3"/>
  <c r="E20" i="3" s="1"/>
  <c r="F98" i="13"/>
  <c r="B98" i="13"/>
  <c r="C23" i="13"/>
  <c r="D64" i="13"/>
  <c r="C64" i="13"/>
  <c r="F53" i="13"/>
  <c r="F8" i="11" s="1"/>
  <c r="D55" i="13"/>
  <c r="D94" i="13" s="1"/>
  <c r="D53" i="13"/>
  <c r="D8" i="11" s="1"/>
  <c r="F64" i="13"/>
  <c r="F9" i="11" s="1"/>
  <c r="B83" i="13"/>
  <c r="E64" i="13"/>
  <c r="F83" i="13"/>
  <c r="B55" i="13"/>
  <c r="F55" i="13"/>
  <c r="C53" i="13"/>
  <c r="C8" i="11" s="1"/>
  <c r="E53" i="13"/>
  <c r="E8" i="11" s="1"/>
  <c r="B64" i="13"/>
  <c r="B54" i="13"/>
  <c r="E83" i="13"/>
  <c r="C55" i="13"/>
  <c r="C94" i="13" s="1"/>
  <c r="D21" i="13"/>
  <c r="B53" i="13"/>
  <c r="B8" i="11" s="1"/>
  <c r="E55" i="13"/>
  <c r="E94" i="13" s="1"/>
  <c r="C83" i="13"/>
  <c r="D83" i="13"/>
  <c r="E84" i="13"/>
  <c r="E21" i="13"/>
  <c r="D54" i="13"/>
  <c r="D93" i="13" s="1"/>
  <c r="F15" i="13"/>
  <c r="B5" i="7" s="1"/>
  <c r="F23" i="13"/>
  <c r="C54" i="13"/>
  <c r="C93" i="13" s="1"/>
  <c r="D23" i="13"/>
  <c r="F5" i="13"/>
  <c r="C15" i="13"/>
  <c r="F13" i="13"/>
  <c r="B4" i="7" s="1"/>
  <c r="E17" i="13"/>
  <c r="E13" i="13"/>
  <c r="F19" i="13"/>
  <c r="B7" i="7" s="1"/>
  <c r="C8" i="9" s="1"/>
  <c r="C11" i="10" s="1"/>
  <c r="D11" i="10" s="1"/>
  <c r="E15" i="13"/>
  <c r="B13" i="13"/>
  <c r="D13" i="13"/>
  <c r="E19" i="13"/>
  <c r="D15" i="13"/>
  <c r="B15" i="13"/>
  <c r="B17" i="13"/>
  <c r="F21" i="13"/>
  <c r="B8" i="7" s="1"/>
  <c r="E23" i="13"/>
  <c r="F54" i="13"/>
  <c r="D17" i="13"/>
  <c r="D19" i="13"/>
  <c r="E7" i="13"/>
  <c r="F8" i="13" s="1"/>
  <c r="E54" i="13"/>
  <c r="E93" i="13" s="1"/>
  <c r="C13" i="13"/>
  <c r="B19" i="13"/>
  <c r="B21" i="13"/>
  <c r="C19" i="13"/>
  <c r="D8" i="13"/>
  <c r="B23" i="13"/>
  <c r="C21" i="13"/>
  <c r="C5" i="13"/>
  <c r="C17" i="13"/>
  <c r="D5" i="13"/>
  <c r="F17" i="13"/>
  <c r="B6" i="7" s="1"/>
  <c r="E86" i="3"/>
  <c r="E89" i="3" s="1"/>
  <c r="F86" i="3"/>
  <c r="F89" i="3" s="1"/>
  <c r="C157" i="3"/>
  <c r="D18" i="3"/>
  <c r="D157" i="3"/>
  <c r="F130" i="3"/>
  <c r="F40" i="13" s="1"/>
  <c r="F84" i="13" s="1"/>
  <c r="F18" i="3"/>
  <c r="C18" i="3"/>
  <c r="C28" i="13" s="1"/>
  <c r="F157" i="3"/>
  <c r="D86" i="3"/>
  <c r="D89" i="3" s="1"/>
  <c r="E157" i="3"/>
  <c r="C86" i="3"/>
  <c r="C89" i="3" s="1"/>
  <c r="C130" i="3"/>
  <c r="C40" i="13" s="1"/>
  <c r="C84" i="13" s="1"/>
  <c r="D130" i="3"/>
  <c r="D40" i="13" s="1"/>
  <c r="D84" i="13" s="1"/>
  <c r="B86" i="3"/>
  <c r="B89" i="3" s="1"/>
  <c r="B130" i="3"/>
  <c r="B40" i="13" s="1"/>
  <c r="B92" i="13" s="1"/>
  <c r="B157" i="3"/>
  <c r="B18" i="3"/>
  <c r="D99" i="13" l="1"/>
  <c r="D9" i="11"/>
  <c r="C99" i="13"/>
  <c r="C9" i="11"/>
  <c r="B99" i="13"/>
  <c r="B9" i="11"/>
  <c r="E99" i="13"/>
  <c r="E9" i="11"/>
  <c r="E25" i="10"/>
  <c r="F25" i="10"/>
  <c r="F11" i="10"/>
  <c r="E11" i="10"/>
  <c r="F99" i="13"/>
  <c r="B28" i="9"/>
  <c r="B32" i="10" s="1"/>
  <c r="D4" i="10"/>
  <c r="D92" i="13"/>
  <c r="C20" i="3"/>
  <c r="C92" i="13"/>
  <c r="D6" i="7"/>
  <c r="C7" i="9" s="1"/>
  <c r="C10" i="10" s="1"/>
  <c r="D10" i="10" s="1"/>
  <c r="E22" i="3"/>
  <c r="E33" i="13" s="1"/>
  <c r="E6" i="11" s="1"/>
  <c r="B84" i="13"/>
  <c r="E28" i="13"/>
  <c r="F92" i="13"/>
  <c r="E31" i="13"/>
  <c r="E30" i="13" s="1"/>
  <c r="E5" i="11" s="1"/>
  <c r="E92" i="13"/>
  <c r="D5" i="7"/>
  <c r="C6" i="9" s="1"/>
  <c r="C9" i="10" s="1"/>
  <c r="D9" i="10" s="1"/>
  <c r="B93" i="13"/>
  <c r="D10" i="7"/>
  <c r="C17" i="9" s="1"/>
  <c r="F93" i="13"/>
  <c r="B10" i="7"/>
  <c r="B94" i="13"/>
  <c r="D11" i="7"/>
  <c r="D3" i="7"/>
  <c r="B3" i="7"/>
  <c r="F94" i="13"/>
  <c r="B11" i="7"/>
  <c r="C24" i="10" s="1"/>
  <c r="D24" i="10" s="1"/>
  <c r="D8" i="7"/>
  <c r="C9" i="9" s="1"/>
  <c r="C12" i="10" s="1"/>
  <c r="D12" i="10" s="1"/>
  <c r="D4" i="7"/>
  <c r="C5" i="9" s="1"/>
  <c r="E8" i="13"/>
  <c r="D20" i="3"/>
  <c r="D28" i="13"/>
  <c r="B20" i="3"/>
  <c r="B28" i="13"/>
  <c r="C22" i="3"/>
  <c r="C33" i="13" s="1"/>
  <c r="F20" i="3"/>
  <c r="F28" i="13"/>
  <c r="C100" i="13" l="1"/>
  <c r="C6" i="11"/>
  <c r="C8" i="10"/>
  <c r="D8" i="10" s="1"/>
  <c r="G4" i="11"/>
  <c r="E35" i="13"/>
  <c r="E72" i="13" s="1"/>
  <c r="F24" i="10"/>
  <c r="E24" i="10"/>
  <c r="E8" i="10"/>
  <c r="F8" i="10"/>
  <c r="F10" i="10"/>
  <c r="E10" i="10"/>
  <c r="E12" i="10"/>
  <c r="F12" i="10"/>
  <c r="F4" i="10"/>
  <c r="E4" i="10"/>
  <c r="C23" i="10"/>
  <c r="D23" i="10" s="1"/>
  <c r="C20" i="9"/>
  <c r="G8" i="11" s="1"/>
  <c r="F9" i="10"/>
  <c r="E9" i="10"/>
  <c r="C31" i="13"/>
  <c r="C30" i="13" s="1"/>
  <c r="C5" i="11" s="1"/>
  <c r="C11" i="9"/>
  <c r="C18" i="10" s="1"/>
  <c r="E69" i="13"/>
  <c r="E100" i="13"/>
  <c r="E36" i="13"/>
  <c r="E73" i="13" s="1"/>
  <c r="E70" i="13"/>
  <c r="C36" i="13"/>
  <c r="C73" i="13" s="1"/>
  <c r="C69" i="13"/>
  <c r="C70" i="13"/>
  <c r="E34" i="13"/>
  <c r="E71" i="13" s="1"/>
  <c r="E88" i="13"/>
  <c r="F22" i="3"/>
  <c r="F33" i="13" s="1"/>
  <c r="F6" i="11" s="1"/>
  <c r="F31" i="13"/>
  <c r="B22" i="3"/>
  <c r="B33" i="13" s="1"/>
  <c r="B31" i="13"/>
  <c r="D22" i="3"/>
  <c r="D33" i="13" s="1"/>
  <c r="D31" i="13"/>
  <c r="D100" i="13" l="1"/>
  <c r="D6" i="11"/>
  <c r="B100" i="13"/>
  <c r="B6" i="11"/>
  <c r="C35" i="13"/>
  <c r="C72" i="13" s="1"/>
  <c r="C26" i="10"/>
  <c r="D26" i="10" s="1"/>
  <c r="C21" i="9"/>
  <c r="F23" i="10"/>
  <c r="E23" i="10"/>
  <c r="C10" i="9"/>
  <c r="C12" i="9"/>
  <c r="B13" i="9"/>
  <c r="F100" i="13"/>
  <c r="B11" i="9"/>
  <c r="B18" i="10" s="1"/>
  <c r="D18" i="10" s="1"/>
  <c r="B9" i="7"/>
  <c r="D36" i="13"/>
  <c r="D73" i="13" s="1"/>
  <c r="D69" i="13"/>
  <c r="D70" i="13"/>
  <c r="B36" i="13"/>
  <c r="B73" i="13" s="1"/>
  <c r="B70" i="13"/>
  <c r="B69" i="13"/>
  <c r="C34" i="13"/>
  <c r="C71" i="13" s="1"/>
  <c r="C88" i="13"/>
  <c r="F36" i="13"/>
  <c r="F73" i="13" s="1"/>
  <c r="F69" i="13"/>
  <c r="F70" i="13"/>
  <c r="B35" i="13"/>
  <c r="B72" i="13" s="1"/>
  <c r="B30" i="13"/>
  <c r="B5" i="11" s="1"/>
  <c r="D35" i="13"/>
  <c r="D72" i="13" s="1"/>
  <c r="D30" i="13"/>
  <c r="D5" i="11" s="1"/>
  <c r="F30" i="13"/>
  <c r="F35" i="13"/>
  <c r="F72" i="13" s="1"/>
  <c r="B10" i="9" l="1"/>
  <c r="B17" i="10" s="1"/>
  <c r="D17" i="10" s="1"/>
  <c r="F5" i="11"/>
  <c r="C17" i="10"/>
  <c r="G5" i="11"/>
  <c r="F18" i="10"/>
  <c r="E18" i="10"/>
  <c r="C13" i="9"/>
  <c r="G6" i="11" s="1"/>
  <c r="C13" i="10"/>
  <c r="D13" i="10" s="1"/>
  <c r="F26" i="10"/>
  <c r="E26" i="10"/>
  <c r="B25" i="9"/>
  <c r="B19" i="10"/>
  <c r="F34" i="13"/>
  <c r="F71" i="13" s="1"/>
  <c r="F88" i="13"/>
  <c r="D34" i="13"/>
  <c r="D71" i="13" s="1"/>
  <c r="D88" i="13"/>
  <c r="B34" i="13"/>
  <c r="B71" i="13" s="1"/>
  <c r="B88" i="13"/>
  <c r="D7" i="7"/>
  <c r="E13" i="10" l="1"/>
  <c r="F13" i="10"/>
  <c r="F17" i="10"/>
  <c r="E17" i="10"/>
  <c r="C25" i="9"/>
  <c r="C26" i="9" s="1"/>
  <c r="G7" i="11" s="1"/>
  <c r="C19" i="10"/>
  <c r="D19" i="10" s="1"/>
  <c r="F19" i="10" l="1"/>
  <c r="E19" i="10"/>
  <c r="C30" i="10"/>
  <c r="D30" i="10" s="1"/>
  <c r="C28" i="9"/>
  <c r="C32" i="10" l="1"/>
  <c r="D32" i="10" s="1"/>
  <c r="E32" i="10" s="1"/>
  <c r="G9" i="11"/>
  <c r="E30" i="10"/>
  <c r="F30" i="10"/>
  <c r="F32"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JAAXZO</author>
  </authors>
  <commentList>
    <comment ref="A30" authorId="0" shapeId="0" xr:uid="{2794329D-800D-44C4-A1F1-93B6C165C2FF}">
      <text>
        <r>
          <rPr>
            <b/>
            <sz val="9"/>
            <color indexed="81"/>
            <rFont val="Tahoma"/>
            <family val="2"/>
          </rPr>
          <t>JAAXZO:</t>
        </r>
        <r>
          <rPr>
            <sz val="9"/>
            <color indexed="81"/>
            <rFont val="Tahoma"/>
            <family val="2"/>
          </rPr>
          <t xml:space="preserve">
EBIT is calculated as Profit Before Tax + Finance Costs, removing the effect of financing costs from pre-tax profit.</t>
        </r>
      </text>
    </comment>
    <comment ref="A53" authorId="0" shapeId="0" xr:uid="{08D1B755-61A5-4C6C-9EF8-A8BA56D29D7C}">
      <text>
        <r>
          <rPr>
            <b/>
            <sz val="9"/>
            <color indexed="81"/>
            <rFont val="Tahoma"/>
            <charset val="1"/>
          </rPr>
          <t>JAAXZO:</t>
        </r>
        <r>
          <rPr>
            <sz val="9"/>
            <color indexed="81"/>
            <rFont val="Tahoma"/>
            <charset val="1"/>
          </rPr>
          <t xml:space="preserve">
Operating Working Capital focuses on operating current assets and operating current liabilities rather than including every current balance-sheet item</t>
        </r>
      </text>
    </comment>
    <comment ref="A54" authorId="0" shapeId="0" xr:uid="{B0E07054-6AA8-43CC-ACC8-DCA70C731AA8}">
      <text>
        <r>
          <rPr>
            <b/>
            <sz val="9"/>
            <color indexed="81"/>
            <rFont val="Tahoma"/>
            <charset val="1"/>
          </rPr>
          <t>JAAXZO:</t>
        </r>
        <r>
          <rPr>
            <sz val="9"/>
            <color indexed="81"/>
            <rFont val="Tahoma"/>
            <charset val="1"/>
          </rPr>
          <t xml:space="preserve">
Trade Receivables and Unbilled Receivables are included to capture the full customer-related balance used in the operating cycle analysis.</t>
        </r>
      </text>
    </comment>
    <comment ref="A55" authorId="0" shapeId="0" xr:uid="{ED4D2DC5-FD39-4E00-95BE-D0DD9524AD34}">
      <text>
        <r>
          <rPr>
            <b/>
            <sz val="9"/>
            <color indexed="81"/>
            <rFont val="Tahoma"/>
            <charset val="1"/>
          </rPr>
          <t>JAAXZO:</t>
        </r>
        <r>
          <rPr>
            <sz val="9"/>
            <color indexed="81"/>
            <rFont val="Tahoma"/>
            <charset val="1"/>
          </rPr>
          <t xml:space="preserve">
Total Expenses are used as the denominator because a precise supplier-related expense base could not be isolated from the available consolidated financial statements. The same basis is used consistently across all five years.</t>
        </r>
      </text>
    </comment>
    <comment ref="A63" authorId="0" shapeId="0" xr:uid="{C9F540A5-1504-4969-A21C-4947D0AD6E1B}">
      <text>
        <r>
          <rPr>
            <b/>
            <sz val="9"/>
            <color indexed="81"/>
            <rFont val="Tahoma"/>
            <charset val="1"/>
          </rPr>
          <t>JAAXZO:</t>
        </r>
        <r>
          <rPr>
            <sz val="9"/>
            <color indexed="81"/>
            <rFont val="Tahoma"/>
            <charset val="1"/>
          </rPr>
          <t xml:space="preserve">
CapEx includes qualifying cash outflows for property, plant and equipment and other identified capital assets. Deposits, investments, loans given and acquisitions are not automatically treated as CapEx.</t>
        </r>
      </text>
    </comment>
    <comment ref="A64" authorId="0" shapeId="0" xr:uid="{3000078B-7D23-41B5-B0EB-B9B0A0DBE15C}">
      <text>
        <r>
          <rPr>
            <b/>
            <sz val="9"/>
            <color indexed="81"/>
            <rFont val="Tahoma"/>
            <charset val="1"/>
          </rPr>
          <t>JAAXZO:</t>
        </r>
        <r>
          <rPr>
            <sz val="9"/>
            <color indexed="81"/>
            <rFont val="Tahoma"/>
            <charset val="1"/>
          </rPr>
          <t xml:space="preserve">
Free Cash Flow is calculated as Operating Cash Flow + CapEx because CapEx is recorded as a negative cash outflow in the model.</t>
        </r>
      </text>
    </comment>
    <comment ref="A69" authorId="0" shapeId="0" xr:uid="{329D0722-7831-4FAE-A6EB-AA8E8A024AA1}">
      <text>
        <r>
          <rPr>
            <b/>
            <sz val="9"/>
            <color indexed="81"/>
            <rFont val="Tahoma"/>
            <family val="2"/>
          </rPr>
          <t>JAAXZO:</t>
        </r>
        <r>
          <rPr>
            <sz val="9"/>
            <color indexed="81"/>
            <rFont val="Tahoma"/>
            <family val="2"/>
          </rPr>
          <t xml:space="preserve">
FY2021 uses year-end total assets because FY2020 is outside the five-year analysis period. From FY2022 onward, the model uses the relevant asset base consistently.</t>
        </r>
      </text>
    </comment>
    <comment ref="A70" authorId="0" shapeId="0" xr:uid="{33D29701-9796-4805-A67F-012935E4EECC}">
      <text>
        <r>
          <rPr>
            <b/>
            <sz val="9"/>
            <color indexed="81"/>
            <rFont val="Tahoma"/>
            <family val="2"/>
          </rPr>
          <t>JAAXZO:</t>
        </r>
        <r>
          <rPr>
            <sz val="9"/>
            <color indexed="81"/>
            <rFont val="Tahoma"/>
            <family val="2"/>
          </rPr>
          <t xml:space="preserve">
FY2021 uses year-end total equity because FY2020 is outside the five-year analysis period. From FY2022 onward, the model uses the relevant equity base consistently.</t>
        </r>
      </text>
    </comment>
    <comment ref="A100" authorId="0" shapeId="0" xr:uid="{2EC1A51B-1915-4D7D-BAE9-50E57D22E354}">
      <text>
        <r>
          <rPr>
            <b/>
            <sz val="9"/>
            <color indexed="81"/>
            <rFont val="Tahoma"/>
            <family val="2"/>
          </rPr>
          <t>JAAXZO:</t>
        </r>
        <r>
          <rPr>
            <sz val="9"/>
            <color indexed="81"/>
            <rFont val="Tahoma"/>
            <family val="2"/>
          </rPr>
          <t xml:space="preserve">
OCF to Net Profit is calculated as Operating Cash Flow ÷ Profit for the Year. This measures how effectively reported profit is converted into operating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JAAXZO</author>
  </authors>
  <commentList>
    <comment ref="D3" authorId="0" shapeId="0" xr:uid="{58AA4069-9A60-47A8-8C41-50A1EAEF0851}">
      <text>
        <r>
          <rPr>
            <b/>
            <sz val="9"/>
            <color indexed="81"/>
            <rFont val="Tahoma"/>
            <charset val="1"/>
          </rPr>
          <t>JAAXZO:</t>
        </r>
        <r>
          <rPr>
            <sz val="9"/>
            <color indexed="81"/>
            <rFont val="Tahoma"/>
            <charset val="1"/>
          </rPr>
          <t xml:space="preserve">
FY2024 and FY2025 growth rates are averaged because the recent two-year period is considered more representative of the current growth trend than the earlier high-growth years.</t>
        </r>
      </text>
    </comment>
    <comment ref="D4" authorId="0" shapeId="0" xr:uid="{7E3105FE-64BF-4754-804B-088B8FF84C48}">
      <text>
        <r>
          <rPr>
            <b/>
            <sz val="9"/>
            <color indexed="81"/>
            <rFont val="Tahoma"/>
            <family val="2"/>
          </rPr>
          <t>JAAXZO:</t>
        </r>
        <r>
          <rPr>
            <sz val="9"/>
            <color indexed="81"/>
            <rFont val="Tahoma"/>
            <family val="2"/>
          </rPr>
          <t xml:space="preserve">
The FY2026 assumption is based on the five-year average of Employee Benefit Expense as a percentage of Revenue from Operations. The ratio remained relatively stable throughout FY2021–FY2025, so the full historical period was considered representative for the forecast.</t>
        </r>
      </text>
    </comment>
    <comment ref="D5" authorId="0" shapeId="0" xr:uid="{4D8E370B-C07E-448E-BC6D-6EC5BE56BE0E}">
      <text>
        <r>
          <rPr>
            <b/>
            <sz val="9"/>
            <color indexed="81"/>
            <rFont val="Tahoma"/>
            <family val="2"/>
          </rPr>
          <t>JAAXZO:</t>
        </r>
        <r>
          <rPr>
            <sz val="9"/>
            <color indexed="81"/>
            <rFont val="Tahoma"/>
            <family val="2"/>
          </rPr>
          <t xml:space="preserve">
FY2024–FY2025 average is used because FY2025 showed a significant increase in equipment and software licence costs, while the available public information does not establish whether the higher FY2025 level will continue.</t>
        </r>
      </text>
    </comment>
    <comment ref="D6" authorId="0" shapeId="0" xr:uid="{E32B0EB8-3D9C-46AB-B91C-0521062CD0F8}">
      <text>
        <r>
          <rPr>
            <b/>
            <sz val="9"/>
            <color indexed="81"/>
            <rFont val="Tahoma"/>
            <family val="2"/>
          </rPr>
          <t>JAAXZO:</t>
        </r>
        <r>
          <rPr>
            <sz val="9"/>
            <color indexed="81"/>
            <rFont val="Tahoma"/>
            <family val="2"/>
          </rPr>
          <t xml:space="preserve">
The FY2023–FY2025 average is used because finance costs have shown a generally declining trend over the recent three-year period.</t>
        </r>
      </text>
    </comment>
    <comment ref="D7" authorId="0" shapeId="0" xr:uid="{7FFD2600-F77F-4E9C-9A9D-0C0DF0E6916A}">
      <text>
        <r>
          <rPr>
            <b/>
            <sz val="9"/>
            <color indexed="81"/>
            <rFont val="Tahoma"/>
            <family val="2"/>
          </rPr>
          <t>JAAXZO:</t>
        </r>
        <r>
          <rPr>
            <sz val="9"/>
            <color indexed="81"/>
            <rFont val="Tahoma"/>
            <family val="2"/>
          </rPr>
          <t xml:space="preserve">
FY2025's 2.05% rate is maintained because D&amp;A as a percentage of Revenue has declined consistently over the historical period.</t>
        </r>
      </text>
    </comment>
    <comment ref="D8" authorId="0" shapeId="0" xr:uid="{1E8D7639-7CEB-4A38-944D-3D8F4388CB1C}">
      <text>
        <r>
          <rPr>
            <b/>
            <sz val="9"/>
            <color indexed="81"/>
            <rFont val="Tahoma"/>
            <family val="2"/>
          </rPr>
          <t>JAAXZO:</t>
        </r>
        <r>
          <rPr>
            <sz val="9"/>
            <color indexed="81"/>
            <rFont val="Tahoma"/>
            <family val="2"/>
          </rPr>
          <t xml:space="preserve">
Y2024–FY2025 average is used because Other Operating Expenses declined as a percentage of Revenue during the recent two-year period.</t>
        </r>
      </text>
    </comment>
    <comment ref="D9" authorId="0" shapeId="0" xr:uid="{DAA4150A-A78C-4666-BA3A-B80DE75F0526}">
      <text>
        <r>
          <rPr>
            <b/>
            <sz val="9"/>
            <color indexed="81"/>
            <rFont val="Tahoma"/>
            <family val="2"/>
          </rPr>
          <t>JAAXZO:</t>
        </r>
        <r>
          <rPr>
            <sz val="9"/>
            <color indexed="81"/>
            <rFont val="Tahoma"/>
            <family val="2"/>
          </rPr>
          <t xml:space="preserve">
FY2021–FY2025 average used because the effective tax rate remained broadly stable throughout the historical period.</t>
        </r>
      </text>
    </comment>
    <comment ref="D10" authorId="0" shapeId="0" xr:uid="{1EF616CF-33A5-412D-8675-F2E1651B0483}">
      <text>
        <r>
          <rPr>
            <b/>
            <sz val="9"/>
            <color indexed="81"/>
            <rFont val="Tahoma"/>
            <family val="2"/>
          </rPr>
          <t>JAAXZO:</t>
        </r>
        <r>
          <rPr>
            <sz val="9"/>
            <color indexed="81"/>
            <rFont val="Tahoma"/>
            <family val="2"/>
          </rPr>
          <t xml:space="preserve">
The five-year average is used because receivable days remained relatively stable, with no significant change in the historical pattern.</t>
        </r>
      </text>
    </comment>
    <comment ref="D11" authorId="0" shapeId="0" xr:uid="{01066C75-486A-4C29-98BF-B81C148CC1AE}">
      <text>
        <r>
          <rPr>
            <b/>
            <sz val="9"/>
            <color indexed="81"/>
            <rFont val="Tahoma"/>
            <family val="2"/>
          </rPr>
          <t>JAAXZO:</t>
        </r>
        <r>
          <rPr>
            <sz val="9"/>
            <color indexed="81"/>
            <rFont val="Tahoma"/>
            <family val="2"/>
          </rPr>
          <t xml:space="preserve">
The five-year average is used because Payable Days remained broadly stable through FY2024, while the FY2025 increase is not sufficient on its own to establish a sustained change in the historical pattern.</t>
        </r>
      </text>
    </comment>
    <comment ref="D12" authorId="0" shapeId="0" xr:uid="{F6243736-D7C4-46F8-A3D3-BF42833B848C}">
      <text>
        <r>
          <rPr>
            <b/>
            <sz val="9"/>
            <color indexed="81"/>
            <rFont val="Tahoma"/>
            <charset val="1"/>
          </rPr>
          <t>JAAXZO:</t>
        </r>
        <r>
          <rPr>
            <sz val="9"/>
            <color indexed="81"/>
            <rFont val="Tahoma"/>
            <charset val="1"/>
          </rPr>
          <t xml:space="preserve">
FY2024–FY2025 average used because FY2025 CapEx increased significantly from FY2024.</t>
        </r>
      </text>
    </comment>
    <comment ref="D13" authorId="0" shapeId="0" xr:uid="{073F21FE-5165-4B0D-BD98-3B03850FC354}">
      <text>
        <r>
          <rPr>
            <b/>
            <sz val="9"/>
            <color indexed="81"/>
            <rFont val="Tahoma"/>
            <charset val="1"/>
          </rPr>
          <t>JAAXZO:</t>
        </r>
        <r>
          <rPr>
            <sz val="9"/>
            <color indexed="81"/>
            <rFont val="Tahoma"/>
            <charset val="1"/>
          </rPr>
          <t xml:space="preserve">
Recent two-year average used because the U&amp;DR-to-Revenue ratio declined over the historical period, making the recent period more representative of the current level.</t>
        </r>
      </text>
    </comment>
  </commentList>
</comments>
</file>

<file path=xl/sharedStrings.xml><?xml version="1.0" encoding="utf-8"?>
<sst xmlns="http://schemas.openxmlformats.org/spreadsheetml/2006/main" count="573" uniqueCount="398">
  <si>
    <t>other income</t>
  </si>
  <si>
    <t>EXPENSES</t>
  </si>
  <si>
    <t>employee benefit expense</t>
  </si>
  <si>
    <t>other operating expenses</t>
  </si>
  <si>
    <t>PROFITABILITY</t>
  </si>
  <si>
    <t>total assets</t>
  </si>
  <si>
    <t xml:space="preserve">REVENUE </t>
  </si>
  <si>
    <t xml:space="preserve">depreciation&amp;amortization </t>
  </si>
  <si>
    <t xml:space="preserve">profit before tax </t>
  </si>
  <si>
    <t>Cost of Equipment &amp; Software Licences</t>
  </si>
  <si>
    <t>revenue from operations</t>
  </si>
  <si>
    <t>finance costs</t>
  </si>
  <si>
    <t>Profit Before Exceptional Item and Tax</t>
  </si>
  <si>
    <t>Exceptional Item</t>
  </si>
  <si>
    <t>Tax Expense</t>
  </si>
  <si>
    <t>Profit for the Year</t>
  </si>
  <si>
    <t>ASSETS</t>
  </si>
  <si>
    <t>Inventories</t>
  </si>
  <si>
    <t>Property, Plant &amp; Equipment (Net)</t>
  </si>
  <si>
    <t>Goodwill</t>
  </si>
  <si>
    <t>Other Intangible Assets</t>
  </si>
  <si>
    <t>current assets</t>
  </si>
  <si>
    <t>non current assets</t>
  </si>
  <si>
    <t>Financial assets</t>
  </si>
  <si>
    <t>Investments</t>
  </si>
  <si>
    <t>Trade receivables</t>
  </si>
  <si>
    <t>Cash and cash equivalents</t>
  </si>
  <si>
    <t>Other balances with banks</t>
  </si>
  <si>
    <t>Loans</t>
  </si>
  <si>
    <t>Other financial assets</t>
  </si>
  <si>
    <t>Income tax assets (net)</t>
  </si>
  <si>
    <t>Other assets</t>
  </si>
  <si>
    <t>Total current assets</t>
  </si>
  <si>
    <t>Capital work-in-progress</t>
  </si>
  <si>
    <t>Right-of-use assets</t>
  </si>
  <si>
    <t>Deferred tax assets (net)</t>
  </si>
  <si>
    <t>Total non-current assets</t>
  </si>
  <si>
    <t>Non-current liabilities</t>
  </si>
  <si>
    <t>Financial liabilities</t>
  </si>
  <si>
    <t>Lease liabilities</t>
  </si>
  <si>
    <t>Other financial liabilities</t>
  </si>
  <si>
    <t>Unearned and deferred revenue</t>
  </si>
  <si>
    <t>Employee benefit obligations</t>
  </si>
  <si>
    <t>Deferred tax liabilities (net)</t>
  </si>
  <si>
    <t>Total non-current liabilities</t>
  </si>
  <si>
    <t>Current liabilities</t>
  </si>
  <si>
    <t>Trade payables</t>
  </si>
  <si>
    <t>Other liabilities</t>
  </si>
  <si>
    <t>Provisions</t>
  </si>
  <si>
    <t>Income tax liabilities (net)</t>
  </si>
  <si>
    <t>Total current liabilities</t>
  </si>
  <si>
    <t>EQUITY AND LIABILITIES</t>
  </si>
  <si>
    <t>EQUITY</t>
  </si>
  <si>
    <t>Share capital</t>
  </si>
  <si>
    <t>Other equity</t>
  </si>
  <si>
    <t>Non-controlling interests</t>
  </si>
  <si>
    <t>Total equity</t>
  </si>
  <si>
    <t>LIABILITIES</t>
  </si>
  <si>
    <t>TOTAL EQUITY AND LIABILITIES</t>
  </si>
  <si>
    <t xml:space="preserve"> PARTICULARS</t>
  </si>
  <si>
    <t>Depreciation and amortisation expense</t>
  </si>
  <si>
    <t>Bad debts and advances written off, allowance for doubtful trade receivables and advances (net)</t>
  </si>
  <si>
    <t>Provision towards legal claim</t>
  </si>
  <si>
    <t>Tax expense</t>
  </si>
  <si>
    <t>Net gain on lease modification</t>
  </si>
  <si>
    <t>Net loss on sub-lease</t>
  </si>
  <si>
    <t>Unrealised foreign exchange gain</t>
  </si>
  <si>
    <t>Net gain on disposal of property, plant and equipment</t>
  </si>
  <si>
    <t>Net gain on disposal / fair valuation of investments</t>
  </si>
  <si>
    <t>Interest income</t>
  </si>
  <si>
    <t>Dividend income</t>
  </si>
  <si>
    <t>Finance costs</t>
  </si>
  <si>
    <t>Operating profit before working capital changes Net change in</t>
  </si>
  <si>
    <t xml:space="preserve">Billed </t>
  </si>
  <si>
    <t>Unbilled</t>
  </si>
  <si>
    <t>Loans and other financial assets</t>
  </si>
  <si>
    <t xml:space="preserve">Unearned and deferred revenue </t>
  </si>
  <si>
    <t xml:space="preserve">Other financial liabilities </t>
  </si>
  <si>
    <t>Other liabilities and provisions</t>
  </si>
  <si>
    <t>Cash generated from operations</t>
  </si>
  <si>
    <t>Taxes paid (net of refunds)</t>
  </si>
  <si>
    <t>Net cash generated from operating activities</t>
  </si>
  <si>
    <t xml:space="preserve">Bank deposits placed </t>
  </si>
  <si>
    <t xml:space="preserve">Inter-corporate deposits placed </t>
  </si>
  <si>
    <t>Purchase of investments</t>
  </si>
  <si>
    <t xml:space="preserve"> Payment for purchase of property, plant and equipment</t>
  </si>
  <si>
    <t>Payment including advances for acquiring right-of use assets</t>
  </si>
  <si>
    <t xml:space="preserve"> Payment for purchase of intangible assets </t>
  </si>
  <si>
    <t xml:space="preserve">Proceeds from bank deposits </t>
  </si>
  <si>
    <t xml:space="preserve">Proceeds from inter-corporate deposits </t>
  </si>
  <si>
    <t>Proceeds from disposal / redemption of investments</t>
  </si>
  <si>
    <t>Proceeds from sub-lease receivable</t>
  </si>
  <si>
    <t xml:space="preserve"> Proceeds from disposal of property, plant and equipment</t>
  </si>
  <si>
    <t xml:space="preserve"> Interest received </t>
  </si>
  <si>
    <t xml:space="preserve">Dividend received </t>
  </si>
  <si>
    <t>Net cash used in investing activities</t>
  </si>
  <si>
    <t>CASH FLOWS FROM FINANCING ACTIVITIES</t>
  </si>
  <si>
    <t>Repayment of lease liabilities</t>
  </si>
  <si>
    <t xml:space="preserve"> Interest paid </t>
  </si>
  <si>
    <t xml:space="preserve">Dividend paid </t>
  </si>
  <si>
    <t xml:space="preserve">Dividend paid to non-controlling interests </t>
  </si>
  <si>
    <t>Tax on buy-back of equity shares</t>
  </si>
  <si>
    <t>Buy-back of equity shares</t>
  </si>
  <si>
    <t>Advance towards purchase of non-controlling interests</t>
  </si>
  <si>
    <t>Net cash used in financing activities</t>
  </si>
  <si>
    <t>Net change in cash and cash equivalents</t>
  </si>
  <si>
    <t xml:space="preserve">Cash and cash equivalents at the beginning of the year </t>
  </si>
  <si>
    <t xml:space="preserve">Exchange difference on translation of foreign currency cash and cash equivalents </t>
  </si>
  <si>
    <t>Cash and cash equivalents at the end of the year</t>
  </si>
  <si>
    <t>Components of cash and cash equivalents Balances with banks</t>
  </si>
  <si>
    <t xml:space="preserve">In current accounts </t>
  </si>
  <si>
    <t xml:space="preserve">In deposit accounts </t>
  </si>
  <si>
    <t xml:space="preserve">Cheques on hand </t>
  </si>
  <si>
    <t xml:space="preserve">Cash on hand </t>
  </si>
  <si>
    <t>Remittances in transit</t>
  </si>
  <si>
    <t>Profit for the year Adjustments for</t>
  </si>
  <si>
    <t>CASH FLOWS FROM OPERATING ACTIVITIES
ACTIVITIES</t>
  </si>
  <si>
    <t>CASH FLOWS FROM INVESTING ACTIVITIES</t>
  </si>
  <si>
    <t xml:space="preserve">Transfer of funds to buy-back escrow account </t>
  </si>
  <si>
    <t>Transfer of funds from buy-back escrow account</t>
  </si>
  <si>
    <t>Expenses for buy-back of equity shares</t>
  </si>
  <si>
    <t>inventories</t>
  </si>
  <si>
    <t>(All figures in ₹ Crore)</t>
  </si>
  <si>
    <t>FY 2021</t>
  </si>
  <si>
    <t>FY 2022</t>
  </si>
  <si>
    <t>FY 2023</t>
  </si>
  <si>
    <t>FY 2024</t>
  </si>
  <si>
    <t>FY 2025</t>
  </si>
  <si>
    <t>*</t>
  </si>
  <si>
    <t>Trade receivables(billed)</t>
  </si>
  <si>
    <t xml:space="preserve"> trade receivables(Unbilled)</t>
  </si>
  <si>
    <t>Loan given</t>
  </si>
  <si>
    <t>Acquisition of assets</t>
  </si>
  <si>
    <t>Proceeds from disposal of intangible assets</t>
  </si>
  <si>
    <t>Loan recovered</t>
  </si>
  <si>
    <t>Sale of shares to non-controlling interests</t>
  </si>
  <si>
    <t>*Represents values less than Rs .0.50 crore.</t>
  </si>
  <si>
    <t>Trade receivables (billed)</t>
  </si>
  <si>
    <t>trade receivables(Unbilled)</t>
  </si>
  <si>
    <t>CONSOLIDATED STATEMENT OF PROFIT AND LOSS</t>
  </si>
  <si>
    <t>Total Revenue</t>
  </si>
  <si>
    <t>Total Expenses</t>
  </si>
  <si>
    <t>CONSOLIDATED STATEMENT OF CASH FLOWS</t>
  </si>
  <si>
    <t>CONSOLIDATED BALANCE SHEET</t>
  </si>
  <si>
    <t>REVENUE ANALYSIS</t>
  </si>
  <si>
    <t>FY2021</t>
  </si>
  <si>
    <t>FY2022</t>
  </si>
  <si>
    <t>FY2023</t>
  </si>
  <si>
    <t>FY2024</t>
  </si>
  <si>
    <t>FY2025</t>
  </si>
  <si>
    <t>Revenue from Operations</t>
  </si>
  <si>
    <t>YoY Revenue Growth %</t>
  </si>
  <si>
    <t>Other Income</t>
  </si>
  <si>
    <t>Total Revenue Growth %</t>
  </si>
  <si>
    <t>—</t>
  </si>
  <si>
    <t>EXPENSE ANALYSIS</t>
  </si>
  <si>
    <t>% of Revenue</t>
  </si>
  <si>
    <t>PROFITABILITY ANALYSIS</t>
  </si>
  <si>
    <t>EBIT Margin %</t>
  </si>
  <si>
    <t>PBT Margin %</t>
  </si>
  <si>
    <t>Net Profit Margin %</t>
  </si>
  <si>
    <t>EBIT</t>
  </si>
  <si>
    <t>Profit Before Tax</t>
  </si>
  <si>
    <t>Net Profit (Profit for the Year)</t>
  </si>
  <si>
    <t>BALANCE SHEET ANALYSIS</t>
  </si>
  <si>
    <t>Total Assets</t>
  </si>
  <si>
    <t>Total Equity</t>
  </si>
  <si>
    <t>Total Liabilities</t>
  </si>
  <si>
    <t>Cash &amp; Cash Equivalents</t>
  </si>
  <si>
    <t>Total Debt</t>
  </si>
  <si>
    <t>WORKING CAPITAL ANALYSIS</t>
  </si>
  <si>
    <t>Trade Receivables</t>
  </si>
  <si>
    <t>Unbilled Receivables</t>
  </si>
  <si>
    <t>Trade Payables</t>
  </si>
  <si>
    <t>Unearned &amp; Deferred Revenue</t>
  </si>
  <si>
    <t>Operating Working Capital</t>
  </si>
  <si>
    <t>Receivable Days</t>
  </si>
  <si>
    <t>Payable Days</t>
  </si>
  <si>
    <t>Working Capital</t>
  </si>
  <si>
    <t>CASH FLOW ANALYSIS</t>
  </si>
  <si>
    <t>Operating Cash Flow</t>
  </si>
  <si>
    <t>Investing Cash Flow</t>
  </si>
  <si>
    <t>Financing Cash Flow</t>
  </si>
  <si>
    <t>Capital Expenditure (CapEx)</t>
  </si>
  <si>
    <t>Free Cash Flow</t>
  </si>
  <si>
    <t>FINANCIAL RATIOS ANALYSIS</t>
  </si>
  <si>
    <t>ROE</t>
  </si>
  <si>
    <t>ROA</t>
  </si>
  <si>
    <t>Current Ratio</t>
  </si>
  <si>
    <t>Quick Ratio</t>
  </si>
  <si>
    <t>Cash Ratio</t>
  </si>
  <si>
    <t>LEVERAGE RATIOS</t>
  </si>
  <si>
    <t>LIQUIDITY RATIOS</t>
  </si>
  <si>
    <t>Debt-to-Equity</t>
  </si>
  <si>
    <t>Debt-to-Assets</t>
  </si>
  <si>
    <t>COVERAGE RATIO</t>
  </si>
  <si>
    <t>Interest Coverage Ratio</t>
  </si>
  <si>
    <t>EFFICIENCY RATIOS</t>
  </si>
  <si>
    <t>Asset Turnover</t>
  </si>
  <si>
    <t>PROFITABILITY RATIOS</t>
  </si>
  <si>
    <t>CASHFLOW RATIOS</t>
  </si>
  <si>
    <t>Operating Cash Flow Margin %</t>
  </si>
  <si>
    <t>Free Cash Flow Margin %</t>
  </si>
  <si>
    <t>OCF to Net Profit Ratio</t>
  </si>
  <si>
    <t>Area</t>
  </si>
  <si>
    <t>Methodology / Assumption</t>
  </si>
  <si>
    <t>Reason</t>
  </si>
  <si>
    <t>Financial Statement Basis</t>
  </si>
  <si>
    <t>The analysis is based on TCS's consolidated financial statements for FY2021 to FY2025.</t>
  </si>
  <si>
    <t>The consolidated statements provide a consistent basis for analysing the company's overall financial performance across the five-year period.</t>
  </si>
  <si>
    <t>Currency &amp; Units</t>
  </si>
  <si>
    <t>All financial statement amounts are presented in ₹ crore, as reported in the financial statements.</t>
  </si>
  <si>
    <t>Using the same unit throughout the model keeps the analysis consistent and avoids unnecessary conversion.</t>
  </si>
  <si>
    <t>Revenue</t>
  </si>
  <si>
    <t>Revenue from Operations is used as the primary revenue measure for margin, growth and efficiency calculations.</t>
  </si>
  <si>
    <t>Revenue from Operations represents the company's core operating revenue and is more useful for analysing operating performance.</t>
  </si>
  <si>
    <t>Total Revenue is calculated using Revenue from Operations plus Other Income.</t>
  </si>
  <si>
    <t>This provides a broader view of the company's total income while keeping operating revenue separately identifiable.</t>
  </si>
  <si>
    <t>Revenue Growth</t>
  </si>
  <si>
    <t>Year-over-year growth is calculated by comparing the current year's figure with the previous year's figure.</t>
  </si>
  <si>
    <t>This shows how quickly the company's revenue has changed from one year to the next.</t>
  </si>
  <si>
    <t>Expense Analysis</t>
  </si>
  <si>
    <t>Major expense categories are analysed individually and also expressed as a percentage of Revenue from Operations.</t>
  </si>
  <si>
    <t>This helps identify which costs have the greatest impact on revenue and how the cost structure has changed over time.</t>
  </si>
  <si>
    <t>EBIT is determined using Profit Before Tax plus Finance Costs.</t>
  </si>
  <si>
    <t>This isolates operating earnings before the effect of financing costs and tax.</t>
  </si>
  <si>
    <t>EBIT Margin</t>
  </si>
  <si>
    <t>EBIT is divided by Revenue from Operations.</t>
  </si>
  <si>
    <t>This shows the proportion of operating revenue retained as earnings before financing costs and tax.</t>
  </si>
  <si>
    <t>PBT Margin</t>
  </si>
  <si>
    <t>Profit Before Tax is divided by Revenue from Operations.</t>
  </si>
  <si>
    <t>This measures profitability before the effect of income tax.</t>
  </si>
  <si>
    <t>Net Profit Margin</t>
  </si>
  <si>
    <t>Profit for the Year is divided by Revenue from Operations.</t>
  </si>
  <si>
    <t>This shows how much profit the company retains from its operating revenue after expenses and tax.</t>
  </si>
  <si>
    <t>Exceptional Items</t>
  </si>
  <si>
    <t>Exceptional items are shown separately rather than being combined with normal operating results.</t>
  </si>
  <si>
    <t>Separating unusual items makes it easier to distinguish recurring performance from items that may not occur regularly.</t>
  </si>
  <si>
    <t>Return on Assets is calculated using Net Profit relative to the relevant asset base. FY2021 uses year-end assets because FY2020 figures are outside the five-year analysis period; subsequent years use the methodology applied consistently in the model.</t>
  </si>
  <si>
    <t>This avoids introducing an additional historical year solely for the purpose of calculating FY2021 average assets.</t>
  </si>
  <si>
    <t>Return on Equity is calculated using Net Profit relative to the relevant equity base. FY2021 uses year-end equity because FY2020 figures are outside the five-year analysis period; subsequent years use the methodology applied consistently in the model.</t>
  </si>
  <si>
    <t>This keeps the five-year analysis self-contained while maintaining a consistent approach for the remaining years.</t>
  </si>
  <si>
    <t>Working Capital is calculated as Current Assets minus Current Liabilities.</t>
  </si>
  <si>
    <t>This measures the company's overall short-term financial position.</t>
  </si>
  <si>
    <t>Operating Working Capital is calculated using operating current assets and operating current liabilities rather than including every balance-sheet item.</t>
  </si>
  <si>
    <t>The purpose is to focus on the capital tied up in the company's day-to-day operations rather than financing and non-operating balances.</t>
  </si>
  <si>
    <t>Receivables</t>
  </si>
  <si>
    <t>Trade Receivables and Unbilled Receivables are included when calculating operating receivables.</t>
  </si>
  <si>
    <t>Both balances represent amounts relating to revenue that have not yet been collected and therefore affect the company's operating cash cycle.</t>
  </si>
  <si>
    <t>Receivable Days are calculated using Trade Receivables plus Unbilled Receivables relative to Revenue from Operations.</t>
  </si>
  <si>
    <t>Including both billed and unbilled receivables gives a more complete view of the amount tied up in customer-related balances.</t>
  </si>
  <si>
    <t>Payables</t>
  </si>
  <si>
    <t>Trade Payables are used as the operating payable balance.</t>
  </si>
  <si>
    <t>Trade Payables directly relate to amounts owed to suppliers and therefore are relevant to the operating cash cycle.</t>
  </si>
  <si>
    <t>Total Expenses are used as the denominator for Payable Days.</t>
  </si>
  <si>
    <t>A precise supplier-related expense base could not be isolated from the available consolidated financial statement information. Using Total Expenses provides a consistent basis for the five-year comparison.</t>
  </si>
  <si>
    <t>Unearned and Deferred Revenue is treated as an operating liability when calculating Operating Working Capital.</t>
  </si>
  <si>
    <t>These balances arise from operating activities and represent amounts received or recognised before the related service or obligation is fully satisfied.</t>
  </si>
  <si>
    <t>Cash and Cash Equivalents are presented separately from operating working capital.</t>
  </si>
  <si>
    <t>Cash is a liquid financial resource rather than capital tied up in the operating cycle.</t>
  </si>
  <si>
    <t>Total Debt includes the relevant current and non-current borrowing/loan balances identified from the financial statements.</t>
  </si>
  <si>
    <t>Combining current and non-current borrowings provides a more complete view of the company's debt position.</t>
  </si>
  <si>
    <t>Total Debt is divided by Total Equity.</t>
  </si>
  <si>
    <t>This measures the company's reliance on debt relative to shareholder funding.</t>
  </si>
  <si>
    <t>Total Debt is divided by Total Assets.</t>
  </si>
  <si>
    <t>This shows the proportion of the company's asset base financed through debt.</t>
  </si>
  <si>
    <t>Interest Coverage</t>
  </si>
  <si>
    <t>Interest Coverage is calculated as EBIT divided by Finance Costs.</t>
  </si>
  <si>
    <t>This measures the company's ability to cover financing costs from earnings before interest and tax.</t>
  </si>
  <si>
    <t>Asset Turnover is calculated as Revenue from Operations divided by the relevant asset base.</t>
  </si>
  <si>
    <t>This measures how efficiently the company uses its assets to generate operating revenue.</t>
  </si>
  <si>
    <t>Operating Cash Flow is taken from the Cash Flow Statement.</t>
  </si>
  <si>
    <t>Using the reported cash flow figure avoids reconstructing operating cash flow from individual components.</t>
  </si>
  <si>
    <t>Capital Expenditure</t>
  </si>
  <si>
    <t>Capital Expenditure is based on cash outflows relating to the purchase/acquisition of property, plant and equipment and other qualifying capital assets identified in the Cash Flow Statement.</t>
  </si>
  <si>
    <t>Only expenditure that represents investment in long-term operating assets is treated as CapEx. Other investing activities such as deposits, investments, loans given and acquisitions are not automatically classified as CapEx.</t>
  </si>
  <si>
    <t>CapEx Sign Convention</t>
  </si>
  <si>
    <t>CapEx is shown as a negative cash outflow in the model.</t>
  </si>
  <si>
    <t>This follows the presentation of cash outflows in the Cash Flow Statement and makes the Free Cash Flow calculation easier to follow.</t>
  </si>
  <si>
    <t>Free Cash Flow is calculated as Operating Cash Flow plus Capital Expenditure because CapEx is recorded as a negative amount.</t>
  </si>
  <si>
    <t>This represents the cash generated from operations after the company's capital investment outflows.</t>
  </si>
  <si>
    <t>Operating Cash Flow Margin</t>
  </si>
  <si>
    <t>Operating Cash Flow is divided by Revenue from Operations.</t>
  </si>
  <si>
    <t>This shows how effectively operating revenue is converted into operating cash flow.</t>
  </si>
  <si>
    <t>Free Cash Flow Margin</t>
  </si>
  <si>
    <t>Free Cash Flow is divided by Revenue from Operations.</t>
  </si>
  <si>
    <t>This shows how much operating revenue remains as free cash flow after capital expenditure.</t>
  </si>
  <si>
    <t>Operating Cash Flow is divided by Profit for the Year.</t>
  </si>
  <si>
    <t>This measures how effectively accounting profit is converted into operating cash.</t>
  </si>
  <si>
    <t>Ratio Presentation</t>
  </si>
  <si>
    <t>Percentage-based ratios are shown as percentages, while turnover and leverage ratios are shown as multiples and working-capital ratios are shown in days.</t>
  </si>
  <si>
    <t>Using the appropriate unit for each ratio makes the analysis easier to interpret and compare.</t>
  </si>
  <si>
    <t>Ratio Consistency</t>
  </si>
  <si>
    <t>Ratios are calculated using the same methodology across all five financial years wherever the required data is available.</t>
  </si>
  <si>
    <t>Consistency is more important than changing the calculation method from year to year.</t>
  </si>
  <si>
    <t>EPS / Per-Share Analysis</t>
  </si>
  <si>
    <t>Per-share analysis has been excluded from the main Financial Analysis.</t>
  </si>
  <si>
    <t>TCS presents different EPS figures in its financial statements and management-performance presentations, including figures affected by specified adjustments. Excluding this section avoids mixing different EPS bases and keeps the core FP&amp;A analysis focused on comparable operating and financial metrics.</t>
  </si>
  <si>
    <t xml:space="preserve">Assumption </t>
  </si>
  <si>
    <t xml:space="preserve">Historical Basis </t>
  </si>
  <si>
    <t xml:space="preserve">FY2025 Actual </t>
  </si>
  <si>
    <t>FY2026 Forecast</t>
  </si>
  <si>
    <t xml:space="preserve"> Method / Driver</t>
  </si>
  <si>
    <t>Employee Benefit Expense % of Revenue</t>
  </si>
  <si>
    <t>Equipment &amp; Software % of Revenue</t>
  </si>
  <si>
    <t>Finance Cost %</t>
  </si>
  <si>
    <t>Depreciation &amp; Amortization % of Revenue</t>
  </si>
  <si>
    <t>Other Operating Expenses % of Revenue</t>
  </si>
  <si>
    <t>Tax Rate</t>
  </si>
  <si>
    <t>CapEx % of Revenue</t>
  </si>
  <si>
    <t>FY2022–FY2025 YoY Revenue from Operations growth</t>
  </si>
  <si>
    <t>FY2021–FY2025 expense-to-revenue trend</t>
  </si>
  <si>
    <t>FY2021–FY2025 finance cost as % of revenue</t>
  </si>
  <si>
    <t>FY2021–FY2025 D&amp;A as % of revenue</t>
  </si>
  <si>
    <t>FY2021–FY2025 effective tax rate</t>
  </si>
  <si>
    <t>FY2021–FY2025 receivable days trend</t>
  </si>
  <si>
    <t>FY2021–FY2025 payable days trend</t>
  </si>
  <si>
    <t>FY2021–FY2025 CapEx as % of Revenue</t>
  </si>
  <si>
    <t>Average of FY2024–FY2025 growth; recent years selected as more representative of the current growth trend.</t>
  </si>
  <si>
    <t>Data Source &amp; Scope</t>
  </si>
  <si>
    <t>The analysis and forecast are based on publicly available TCS annual reports and financial information used for this project. No confidential internal budgets, management forecasts, client-level data, contract-level information, or other non-public company data has been used.</t>
  </si>
  <si>
    <t>The purpose of the project is to demonstrate an FP&amp;A approach using information that would be accessible to an external analyst. Where detailed internal operating drivers are not available, historical financial trends and clearly stated assumptions are used instead.</t>
  </si>
  <si>
    <t>Five-year historical average; ratio remained relatively stable over the period.</t>
  </si>
  <si>
    <t>Average of FY2024–FY2025; recent period captures the significant increase while avoiding full reliance on the FY2025 level.</t>
  </si>
  <si>
    <t>Average of FY2023–FY2025; recent period reflects the declining trend in finance costs.</t>
  </si>
  <si>
    <t>FY2025 rate maintained; D&amp;A has generally increased while declining as a percentage of Revenue.</t>
  </si>
  <si>
    <t>FY2025 Actual</t>
  </si>
  <si>
    <t>Employee Benefit Expense</t>
  </si>
  <si>
    <t>Equipment &amp; Software</t>
  </si>
  <si>
    <t>Finance Cost</t>
  </si>
  <si>
    <t>D&amp;A</t>
  </si>
  <si>
    <t>Other Operating Expenses</t>
  </si>
  <si>
    <t>PBT</t>
  </si>
  <si>
    <t>Average of FY2024–FY2025; recent period reflects the declining expense trend.</t>
  </si>
  <si>
    <t>Five-year average; receivable days remained stable throughout the period.</t>
  </si>
  <si>
    <t>Five-year average; FY2025 increase not treated as a sustained trend.</t>
  </si>
  <si>
    <t>net profit</t>
  </si>
  <si>
    <t>Average of FY2024–FY2025 CapEx as % of Revenue; recent period reflects increased investment.</t>
  </si>
  <si>
    <t>Tax rates</t>
  </si>
  <si>
    <t>Five-year average of FY2021–FY2025 effective tax rates; historical rate remained stable.</t>
  </si>
  <si>
    <t>Tax expenses</t>
  </si>
  <si>
    <t>Income Statement Forecast</t>
  </si>
  <si>
    <t>U&amp;DR % of Revenue</t>
  </si>
  <si>
    <t>FY2024–FY2025 U&amp;DR as % of Revenue</t>
  </si>
  <si>
    <t>Average of FY2024–FY2025 U&amp;DR as % of Revenue; recent period reflects the current relationship with revenue.</t>
  </si>
  <si>
    <t>Operating Working Capital Forecast</t>
  </si>
  <si>
    <t>__</t>
  </si>
  <si>
    <t>Operating  Working Capital</t>
  </si>
  <si>
    <t>Change in Operating  Working Capital</t>
  </si>
  <si>
    <t>Cash Flow Forecast</t>
  </si>
  <si>
    <t>Net Profit</t>
  </si>
  <si>
    <t>capex</t>
  </si>
  <si>
    <t>variance</t>
  </si>
  <si>
    <t>variance %</t>
  </si>
  <si>
    <t>F/U</t>
  </si>
  <si>
    <t xml:space="preserve">Revenue </t>
  </si>
  <si>
    <t>Expense</t>
  </si>
  <si>
    <t>Cash Flow</t>
  </si>
  <si>
    <t>FY2026 Forecast – Management Insights</t>
  </si>
  <si>
    <t>Profitability</t>
  </si>
  <si>
    <t>FY2026 revenue is expected to increase by 6.42% compared with FY2025. This shows that the company is expected to continue growing, although the growth is moderate.</t>
  </si>
  <si>
    <r>
      <t xml:space="preserve">Trade receivables are expected to increase by </t>
    </r>
    <r>
      <rPr>
        <b/>
        <i/>
        <sz val="11"/>
        <color theme="1"/>
        <rFont val="Aptos Narrow"/>
        <family val="2"/>
        <scheme val="minor"/>
      </rPr>
      <t>2.77%</t>
    </r>
    <r>
      <rPr>
        <i/>
        <sz val="11"/>
        <color theme="1"/>
        <rFont val="Aptos Narrow"/>
        <family val="2"/>
        <scheme val="minor"/>
      </rPr>
      <t>. This means more money may remain with customers at the end of the year. The company should keep an eye on collections to make sure customers are paying on time.</t>
    </r>
  </si>
  <si>
    <r>
      <t xml:space="preserve">EBIT is expected to increase by </t>
    </r>
    <r>
      <rPr>
        <b/>
        <i/>
        <sz val="11"/>
        <color theme="1"/>
        <rFont val="Aptos Narrow"/>
        <family val="2"/>
        <scheme val="minor"/>
      </rPr>
      <t>4.20%</t>
    </r>
    <r>
      <rPr>
        <i/>
        <sz val="11"/>
        <color theme="1"/>
        <rFont val="Aptos Narrow"/>
        <family val="2"/>
        <scheme val="minor"/>
      </rPr>
      <t xml:space="preserve">, while net profit is expected to increase by </t>
    </r>
    <r>
      <rPr>
        <b/>
        <i/>
        <sz val="11"/>
        <color theme="1"/>
        <rFont val="Aptos Narrow"/>
        <family val="2"/>
        <scheme val="minor"/>
      </rPr>
      <t>3.75%</t>
    </r>
    <r>
      <rPr>
        <i/>
        <sz val="11"/>
        <color theme="1"/>
        <rFont val="Aptos Narrow"/>
        <family val="2"/>
        <scheme val="minor"/>
      </rPr>
      <t>. Profit is growing, but slightly slower than revenue, which suggests that expenses are putting some pressure on profitability.</t>
    </r>
  </si>
  <si>
    <t>Overall Interpretation</t>
  </si>
  <si>
    <t>TCS FY2026 FP&amp;A DASHBOARD</t>
  </si>
  <si>
    <t>REVENUE</t>
  </si>
  <si>
    <t>NET PROF</t>
  </si>
  <si>
    <t>OCF</t>
  </si>
  <si>
    <t>FCF</t>
  </si>
  <si>
    <t>EXPENSE</t>
  </si>
  <si>
    <t>FY2026</t>
  </si>
  <si>
    <t>OWC</t>
  </si>
  <si>
    <t>Metric</t>
  </si>
  <si>
    <t>FY2026 FP&amp;A MODEL</t>
  </si>
  <si>
    <t>Financial Analysis, Forecasting &amp; Management Insights</t>
  </si>
  <si>
    <t>HISTORICAL PERIOD</t>
  </si>
  <si>
    <t>FORECAST PERIOD</t>
  </si>
  <si>
    <t>FY2021 – FY2025</t>
  </si>
  <si>
    <t>PREPARED BY</t>
  </si>
  <si>
    <t>Financial Performance | Forecasting | Variance Analysis</t>
  </si>
  <si>
    <t>Working Capital | Cash Flow | Management Insights</t>
  </si>
  <si>
    <t>FY2026 Forecast • Management Planning &amp; Decision Support</t>
  </si>
  <si>
    <t>JISHNU.P</t>
  </si>
  <si>
    <t>"This model is prepared for FP&amp;A analysis and educational purposes using publicly available information. FY2026 figures are independently prepared forecasts and do not represent official TCS guidance or internal forecasts. No confidential company data has been used. Reasonable care has been taken in preparing the model; however, assumptions, estimates or unintentional errors may exist, and actual results may differ from the forecast."</t>
  </si>
  <si>
    <t>TATA CONSULTANCY SERVICES</t>
  </si>
  <si>
    <t>TATA CONSULTANCY SERVICES FINANCIAL ANALYSIS FY2021-25</t>
  </si>
  <si>
    <t>TATA CONSULTANCY SERVICES FINANCIAL STATEMENTS FY2021-25</t>
  </si>
  <si>
    <t>ASSUMPTIONS &amp; METHODOLOGY</t>
  </si>
  <si>
    <t>A PROJECT ON</t>
  </si>
  <si>
    <t>FORECAST ASSUMPTIONS — FY 2026</t>
  </si>
  <si>
    <t>Particulars</t>
  </si>
  <si>
    <t>FINANCIAL FORECAST -FY 2026</t>
  </si>
  <si>
    <t>FORECAST VARIANCE ANALYSIS — FY2026</t>
  </si>
  <si>
    <r>
      <t xml:space="preserve">Trade payables are expected to increase by </t>
    </r>
    <r>
      <rPr>
        <b/>
        <i/>
        <sz val="11"/>
        <color theme="1"/>
        <rFont val="Aptos Narrow"/>
        <family val="2"/>
        <scheme val="minor"/>
      </rPr>
      <t>20.21%</t>
    </r>
    <r>
      <rPr>
        <i/>
        <sz val="11"/>
        <color theme="1"/>
        <rFont val="Aptos Narrow"/>
        <family val="2"/>
        <scheme val="minor"/>
      </rPr>
      <t>. This helps the company's cash position because more payments to suppliers remain outstanding. However, the increase should be monitored to make sure it does not create problems with suppliers.</t>
    </r>
  </si>
  <si>
    <r>
      <t xml:space="preserve">Operating working capital is expected to decrease by </t>
    </r>
    <r>
      <rPr>
        <b/>
        <sz val="11"/>
        <color theme="1"/>
        <rFont val="Aptos Narrow"/>
        <family val="2"/>
        <scheme val="minor"/>
      </rPr>
      <t>₹1,345.97 crore</t>
    </r>
    <r>
      <rPr>
        <sz val="11"/>
        <color theme="1"/>
        <rFont val="Aptos Narrow"/>
        <family val="2"/>
        <scheme val="minor"/>
      </rPr>
      <t>. This is positive for cash flow because less money will be tied up in day-to-day operations.</t>
    </r>
  </si>
  <si>
    <t>Operating cash flow is expected to increase by 17.68% to ₹57,553.57 crore. This shows that the company is expected to generate more cash from its normal operations.</t>
  </si>
  <si>
    <t>Free cash flow is expected to increase by 19.89% to ₹54,007.98 crore. This is a positive sign because the company is expected to have more cash available after spending on capital expenditure.</t>
  </si>
  <si>
    <t>Overall, the FY2026 forecast looks positive. Revenue and profit are expected to grow, while operating and free cash flow are expected to improve. The company has historically maintained strong liquidity, very low leverage and strong interest coverage. Although receivables are expected to increase, the overall operating working capital position improves and supports cash flow. The main areas to watch are the slight pressure on profit margins, customer collections and the increase in trade payables.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</si>
</sst>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_ [$₹-4009]\ * #,##0_ ;_ [$₹-4009]\ * \-#,##0_ ;_ [$₹-4009]\ * &quot;-&quot;_ ;_ @_ "/>
    <numFmt numFmtId="165" formatCode="[$₹-4009]\ #,##0;[Red][$₹-4009]\ \-#,##0"/>
    <numFmt numFmtId="166" formatCode="_ [$₹-4009]\ * #,##0.00_ ;_ [$₹-4009]\ * \-#,##0.00_ ;_ [$₹-4009]\ * &quot;-&quot;??_ ;_ @_ "/>
    <numFmt numFmtId="167" formatCode="0.000000000000000%"/>
    <numFmt numFmtId="168" formatCode="0.0000"/>
    <numFmt numFmtId="169" formatCode="&quot;$&quot;#,##0.00"/>
    <numFmt numFmtId="170" formatCode="[Green]0.0%\ &quot;↑&quot;;[Red]\-0.0%\ &quot;↓&quot;;0.0%"/>
    <numFmt numFmtId="171" formatCode="[$₹-4009]\ #,##0.00"/>
    <numFmt numFmtId="172" formatCode="[Green]0.00%\ &quot;↑&quot;;[Red]\-0.00%\ &quot;↓&quot;;0.00%"/>
  </numFmts>
  <fonts count="44">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0"/>
      <color theme="1"/>
      <name val="Aptos Narrow"/>
      <family val="2"/>
      <scheme val="minor"/>
    </font>
    <font>
      <b/>
      <u/>
      <sz val="11"/>
      <color theme="1"/>
      <name val="Aptos Narrow"/>
      <family val="2"/>
      <scheme val="minor"/>
    </font>
    <font>
      <b/>
      <u val="doubleAccounting"/>
      <sz val="11"/>
      <color theme="1"/>
      <name val="Aptos Narrow"/>
      <family val="2"/>
      <scheme val="minor"/>
    </font>
    <font>
      <b/>
      <sz val="12"/>
      <color theme="0"/>
      <name val="Aptos Narrow"/>
      <family val="2"/>
      <scheme val="minor"/>
    </font>
    <font>
      <b/>
      <sz val="12"/>
      <color theme="0"/>
      <name val="Aptos Display"/>
      <family val="2"/>
      <scheme val="major"/>
    </font>
    <font>
      <b/>
      <u val="double"/>
      <sz val="11"/>
      <color theme="1"/>
      <name val="Aptos Narrow"/>
      <family val="2"/>
      <scheme val="minor"/>
    </font>
    <font>
      <i/>
      <u/>
      <sz val="12"/>
      <color theme="1"/>
      <name val="Aptos Narrow"/>
      <family val="2"/>
      <scheme val="minor"/>
    </font>
    <font>
      <b/>
      <sz val="15"/>
      <color theme="3"/>
      <name val="Aptos Narrow"/>
      <family val="2"/>
      <scheme val="minor"/>
    </font>
    <font>
      <i/>
      <u/>
      <sz val="14"/>
      <color theme="1"/>
      <name val="Aptos Narrow"/>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i/>
      <u/>
      <sz val="11"/>
      <color theme="1"/>
      <name val="Aptos Narrow"/>
      <family val="2"/>
      <scheme val="minor"/>
    </font>
    <font>
      <sz val="12"/>
      <color theme="1"/>
      <name val="Aptos Narrow"/>
      <family val="2"/>
      <scheme val="minor"/>
    </font>
    <font>
      <sz val="11"/>
      <color theme="0"/>
      <name val="Aptos Narrow"/>
      <family val="2"/>
      <scheme val="minor"/>
    </font>
    <font>
      <i/>
      <sz val="11"/>
      <color theme="1"/>
      <name val="Aptos Narrow"/>
      <family val="2"/>
      <scheme val="minor"/>
    </font>
    <font>
      <b/>
      <i/>
      <sz val="11"/>
      <color theme="1"/>
      <name val="Aptos Narrow"/>
      <family val="2"/>
      <scheme val="minor"/>
    </font>
    <font>
      <b/>
      <u/>
      <sz val="15"/>
      <color theme="0"/>
      <name val="Aptos Narrow"/>
      <family val="2"/>
      <scheme val="minor"/>
    </font>
    <font>
      <i/>
      <u/>
      <sz val="12"/>
      <color theme="0"/>
      <name val="Aptos Narrow"/>
      <family val="2"/>
      <scheme val="minor"/>
    </font>
    <font>
      <b/>
      <u/>
      <sz val="16"/>
      <color theme="0"/>
      <name val="Aptos Narrow"/>
      <family val="2"/>
      <scheme val="minor"/>
    </font>
    <font>
      <u/>
      <sz val="11"/>
      <color theme="1"/>
      <name val="Aptos Narrow"/>
      <family val="2"/>
      <scheme val="minor"/>
    </font>
    <font>
      <sz val="11"/>
      <color rgb="FF000000"/>
      <name val="Aptos Narrow"/>
      <family val="2"/>
      <scheme val="minor"/>
    </font>
    <font>
      <b/>
      <sz val="20"/>
      <color rgb="FF17365D"/>
      <name val="Aptos Display"/>
      <family val="2"/>
    </font>
    <font>
      <b/>
      <sz val="26"/>
      <color rgb="FF2F75B5"/>
      <name val="Aptos Display"/>
      <family val="2"/>
    </font>
    <font>
      <i/>
      <sz val="13"/>
      <color rgb="FF666666"/>
      <name val="Aptos"/>
      <family val="2"/>
    </font>
    <font>
      <b/>
      <sz val="11"/>
      <color rgb="FFFFFFFF"/>
      <name val="Aptos"/>
      <family val="2"/>
    </font>
    <font>
      <b/>
      <sz val="17"/>
      <color rgb="FF17365D"/>
      <name val="Aptos Display"/>
      <family val="2"/>
    </font>
    <font>
      <b/>
      <sz val="17"/>
      <color rgb="FF2F75B5"/>
      <name val="Aptos Display"/>
      <family val="2"/>
    </font>
    <font>
      <b/>
      <sz val="10"/>
      <color rgb="FF666666"/>
      <name val="Aptos"/>
      <family val="2"/>
    </font>
    <font>
      <b/>
      <sz val="18"/>
      <color rgb="FF17365D"/>
      <name val="Aptos Display"/>
      <family val="2"/>
    </font>
    <font>
      <sz val="10"/>
      <color rgb="FF666666"/>
      <name val="Aptos"/>
      <family val="2"/>
    </font>
    <font>
      <i/>
      <sz val="9"/>
      <color rgb="FF666666"/>
      <name val="Aptos"/>
      <family val="2"/>
    </font>
    <font>
      <i/>
      <sz val="8"/>
      <color theme="2" tint="-0.749992370372631"/>
      <name val="Aptos Narrow"/>
      <family val="2"/>
      <scheme val="minor"/>
    </font>
    <font>
      <b/>
      <u/>
      <sz val="20"/>
      <color theme="3"/>
      <name val="Aptos Narrow"/>
      <family val="2"/>
      <scheme val="minor"/>
    </font>
    <font>
      <b/>
      <sz val="20"/>
      <color theme="0"/>
      <name val="Aptos Display"/>
      <family val="2"/>
      <scheme val="major"/>
    </font>
    <font>
      <b/>
      <sz val="16"/>
      <color theme="0"/>
      <name val="Heading"/>
    </font>
    <font>
      <b/>
      <sz val="36"/>
      <color theme="0"/>
      <name val="Aptos Display"/>
      <family val="2"/>
      <scheme val="major"/>
    </font>
    <font>
      <sz val="10"/>
      <color rgb="FF000000"/>
      <name val="Aptos Narrow"/>
      <family val="2"/>
      <scheme val="minor"/>
    </font>
    <font>
      <b/>
      <sz val="14"/>
      <color theme="0"/>
      <name val="Aptos Display"/>
      <family val="2"/>
      <scheme val="major"/>
    </font>
  </fonts>
  <fills count="19">
    <fill>
      <patternFill patternType="none"/>
    </fill>
    <fill>
      <patternFill patternType="gray125"/>
    </fill>
    <fill>
      <patternFill patternType="solid">
        <fgColor theme="0" tint="-0.14999847407452621"/>
        <bgColor indexed="64"/>
      </patternFill>
    </fill>
    <fill>
      <patternFill patternType="solid">
        <fgColor theme="3" tint="0.749992370372631"/>
        <bgColor indexed="64"/>
      </patternFill>
    </fill>
    <fill>
      <patternFill patternType="solid">
        <fgColor theme="3" tint="9.9978637043366805E-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002060"/>
        <bgColor indexed="64"/>
      </patternFill>
    </fill>
    <fill>
      <patternFill patternType="solid">
        <fgColor rgb="FF17365D"/>
        <bgColor rgb="FF000000"/>
      </patternFill>
    </fill>
    <fill>
      <patternFill patternType="solid">
        <fgColor rgb="FFFFFFFF"/>
        <bgColor rgb="FF000000"/>
      </patternFill>
    </fill>
    <fill>
      <patternFill patternType="solid">
        <fgColor rgb="FF2F75B5"/>
        <bgColor rgb="FF000000"/>
      </patternFill>
    </fill>
    <fill>
      <patternFill patternType="solid">
        <fgColor rgb="FFD9EAF7"/>
        <bgColor rgb="FF000000"/>
      </patternFill>
    </fill>
    <fill>
      <patternFill patternType="solid">
        <fgColor theme="4" tint="-0.499984740745262"/>
        <bgColor indexed="64"/>
      </patternFill>
    </fill>
  </fills>
  <borders count="43">
    <border>
      <left/>
      <right/>
      <top/>
      <bottom/>
      <diagonal/>
    </border>
    <border>
      <left/>
      <right/>
      <top/>
      <bottom style="thick">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style="thin">
        <color theme="1" tint="0.499984740745262"/>
      </bottom>
      <diagonal/>
    </border>
    <border>
      <left style="medium">
        <color rgb="FFD9E2F3"/>
      </left>
      <right/>
      <top style="medium">
        <color rgb="FFD9E2F3"/>
      </top>
      <bottom style="medium">
        <color rgb="FFD9E2F3"/>
      </bottom>
      <diagonal/>
    </border>
    <border>
      <left/>
      <right/>
      <top style="medium">
        <color rgb="FFD9E2F3"/>
      </top>
      <bottom style="medium">
        <color rgb="FFD9E2F3"/>
      </bottom>
      <diagonal/>
    </border>
    <border>
      <left/>
      <right style="medium">
        <color rgb="FFD9E2F3"/>
      </right>
      <top style="medium">
        <color rgb="FFD9E2F3"/>
      </top>
      <bottom style="medium">
        <color rgb="FFD9E2F3"/>
      </bottom>
      <diagonal/>
    </border>
    <border>
      <left style="medium">
        <color rgb="FFD9E2F3"/>
      </left>
      <right/>
      <top style="medium">
        <color rgb="FFD9E2F3"/>
      </top>
      <bottom/>
      <diagonal/>
    </border>
    <border>
      <left/>
      <right/>
      <top style="medium">
        <color rgb="FFD9E2F3"/>
      </top>
      <bottom/>
      <diagonal/>
    </border>
    <border>
      <left/>
      <right style="medium">
        <color rgb="FFD9E2F3"/>
      </right>
      <top style="medium">
        <color rgb="FFD9E2F3"/>
      </top>
      <bottom/>
      <diagonal/>
    </border>
    <border>
      <left style="medium">
        <color rgb="FFD9E2F3"/>
      </left>
      <right/>
      <top/>
      <bottom style="medium">
        <color rgb="FFD9E2F3"/>
      </bottom>
      <diagonal/>
    </border>
    <border>
      <left/>
      <right/>
      <top/>
      <bottom style="medium">
        <color rgb="FFD9E2F3"/>
      </bottom>
      <diagonal/>
    </border>
    <border>
      <left/>
      <right style="medium">
        <color rgb="FFD9E2F3"/>
      </right>
      <top/>
      <bottom style="medium">
        <color rgb="FFD9E2F3"/>
      </bottom>
      <diagonal/>
    </border>
    <border>
      <left style="thin">
        <color theme="2" tint="-0.89999084444715716"/>
      </left>
      <right/>
      <top style="thin">
        <color theme="2" tint="-0.89999084444715716"/>
      </top>
      <bottom/>
      <diagonal/>
    </border>
    <border>
      <left/>
      <right/>
      <top style="thin">
        <color theme="2" tint="-0.89999084444715716"/>
      </top>
      <bottom/>
      <diagonal/>
    </border>
    <border>
      <left/>
      <right style="thin">
        <color theme="2" tint="-0.89999084444715716"/>
      </right>
      <top style="thin">
        <color theme="2" tint="-0.89999084444715716"/>
      </top>
      <bottom/>
      <diagonal/>
    </border>
    <border>
      <left style="thin">
        <color theme="2" tint="-0.89999084444715716"/>
      </left>
      <right/>
      <top/>
      <bottom/>
      <diagonal/>
    </border>
    <border>
      <left/>
      <right style="thin">
        <color theme="2" tint="-0.89999084444715716"/>
      </right>
      <top/>
      <bottom/>
      <diagonal/>
    </border>
    <border>
      <left style="thin">
        <color theme="2" tint="-0.89999084444715716"/>
      </left>
      <right/>
      <top/>
      <bottom style="thin">
        <color theme="2" tint="-0.89999084444715716"/>
      </bottom>
      <diagonal/>
    </border>
    <border>
      <left/>
      <right/>
      <top/>
      <bottom style="thin">
        <color theme="2" tint="-0.89999084444715716"/>
      </bottom>
      <diagonal/>
    </border>
    <border>
      <left/>
      <right style="thin">
        <color theme="2" tint="-0.89999084444715716"/>
      </right>
      <top/>
      <bottom style="thin">
        <color theme="2" tint="-0.89999084444715716"/>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1" applyNumberFormat="0" applyFill="0" applyAlignment="0" applyProtection="0"/>
    <xf numFmtId="0" fontId="18" fillId="0" borderId="0"/>
  </cellStyleXfs>
  <cellXfs count="283">
    <xf numFmtId="0" fontId="0" fillId="0" borderId="0" xfId="0"/>
    <xf numFmtId="164" fontId="0" fillId="0" borderId="0" xfId="0" applyNumberFormat="1"/>
    <xf numFmtId="164" fontId="0" fillId="0" borderId="0" xfId="0" applyNumberFormat="1" applyAlignment="1">
      <alignment wrapText="1"/>
    </xf>
    <xf numFmtId="165" fontId="0" fillId="0" borderId="0" xfId="0" applyNumberFormat="1"/>
    <xf numFmtId="10" fontId="0" fillId="0" borderId="0" xfId="2" applyNumberFormat="1" applyFont="1"/>
    <xf numFmtId="167" fontId="0" fillId="0" borderId="0" xfId="0" applyNumberFormat="1"/>
    <xf numFmtId="9" fontId="0" fillId="0" borderId="0" xfId="2" applyFont="1"/>
    <xf numFmtId="166" fontId="0" fillId="0" borderId="0" xfId="2" applyNumberFormat="1" applyFont="1"/>
    <xf numFmtId="166" fontId="0" fillId="0" borderId="2" xfId="0" applyNumberFormat="1" applyBorder="1"/>
    <xf numFmtId="0" fontId="0" fillId="0" borderId="2" xfId="0" applyBorder="1" applyAlignment="1">
      <alignment horizontal="center" vertical="center"/>
    </xf>
    <xf numFmtId="10" fontId="0" fillId="0" borderId="2" xfId="2" applyNumberFormat="1" applyFont="1" applyBorder="1"/>
    <xf numFmtId="166" fontId="0" fillId="0" borderId="2" xfId="0" applyNumberFormat="1" applyBorder="1" applyAlignment="1">
      <alignment vertical="center" wrapText="1"/>
    </xf>
    <xf numFmtId="10" fontId="0" fillId="0" borderId="2" xfId="0" applyNumberFormat="1" applyBorder="1"/>
    <xf numFmtId="10" fontId="0" fillId="0" borderId="2" xfId="0" applyNumberFormat="1" applyBorder="1" applyAlignment="1">
      <alignment vertical="center" wrapText="1"/>
    </xf>
    <xf numFmtId="1" fontId="0" fillId="0" borderId="2" xfId="0" applyNumberFormat="1" applyBorder="1"/>
    <xf numFmtId="2" fontId="0" fillId="0" borderId="2" xfId="0" applyNumberFormat="1" applyBorder="1" applyAlignment="1">
      <alignment vertical="center" wrapText="1"/>
    </xf>
    <xf numFmtId="2" fontId="0" fillId="0" borderId="2" xfId="0" applyNumberFormat="1" applyBorder="1"/>
    <xf numFmtId="168" fontId="0" fillId="0" borderId="2" xfId="0" applyNumberFormat="1" applyBorder="1"/>
    <xf numFmtId="10" fontId="0" fillId="0" borderId="2" xfId="2" applyNumberFormat="1" applyFont="1" applyBorder="1" applyAlignment="1">
      <alignment vertical="center" wrapText="1"/>
    </xf>
    <xf numFmtId="0" fontId="17" fillId="0" borderId="0" xfId="0" applyFont="1"/>
    <xf numFmtId="0" fontId="0" fillId="0" borderId="0" xfId="0" applyAlignment="1">
      <alignment vertical="center"/>
    </xf>
    <xf numFmtId="10" fontId="0" fillId="0" borderId="0" xfId="0" applyNumberFormat="1" applyAlignment="1">
      <alignment vertical="center"/>
    </xf>
    <xf numFmtId="10" fontId="0" fillId="0" borderId="0" xfId="0" applyNumberFormat="1"/>
    <xf numFmtId="0" fontId="0" fillId="0" borderId="0" xfId="0" applyAlignment="1">
      <alignment vertical="center" wrapText="1"/>
    </xf>
    <xf numFmtId="0" fontId="17" fillId="0" borderId="0" xfId="0" applyFont="1" applyAlignment="1">
      <alignment horizontal="center"/>
    </xf>
    <xf numFmtId="10" fontId="0" fillId="0" borderId="0" xfId="0" applyNumberFormat="1" applyAlignment="1">
      <alignment horizontal="center"/>
    </xf>
    <xf numFmtId="1" fontId="0" fillId="0" borderId="0" xfId="0" applyNumberFormat="1" applyAlignment="1">
      <alignment horizontal="center"/>
    </xf>
    <xf numFmtId="0" fontId="0" fillId="0" borderId="0" xfId="0" applyAlignment="1">
      <alignment wrapText="1"/>
    </xf>
    <xf numFmtId="0" fontId="17" fillId="0" borderId="0" xfId="0" applyFont="1" applyAlignment="1">
      <alignment wrapText="1"/>
    </xf>
    <xf numFmtId="0" fontId="12" fillId="0" borderId="3" xfId="0" applyFont="1" applyBorder="1" applyAlignment="1">
      <alignment horizontal="center" vertical="center"/>
    </xf>
    <xf numFmtId="0" fontId="0" fillId="0" borderId="3" xfId="0" applyBorder="1" applyAlignment="1">
      <alignment horizontal="center" vertical="center" wrapText="1"/>
    </xf>
    <xf numFmtId="10" fontId="0" fillId="0" borderId="0" xfId="2" applyNumberFormat="1" applyFont="1" applyAlignment="1">
      <alignment vertical="center"/>
    </xf>
    <xf numFmtId="169" fontId="0" fillId="0" borderId="0" xfId="0" applyNumberFormat="1"/>
    <xf numFmtId="169" fontId="0" fillId="0" borderId="0" xfId="0" applyNumberFormat="1" applyAlignment="1">
      <alignment vertical="center"/>
    </xf>
    <xf numFmtId="166" fontId="0" fillId="0" borderId="3" xfId="0" applyNumberFormat="1" applyBorder="1"/>
    <xf numFmtId="10" fontId="0" fillId="0" borderId="3" xfId="2" applyNumberFormat="1" applyFont="1" applyBorder="1"/>
    <xf numFmtId="166" fontId="0" fillId="0" borderId="0" xfId="0" applyNumberFormat="1"/>
    <xf numFmtId="166" fontId="0" fillId="0" borderId="3" xfId="0" applyNumberFormat="1" applyBorder="1" applyAlignment="1">
      <alignment vertical="center" wrapText="1"/>
    </xf>
    <xf numFmtId="1" fontId="0" fillId="0" borderId="3" xfId="0" applyNumberFormat="1" applyBorder="1"/>
    <xf numFmtId="10" fontId="0" fillId="0" borderId="0" xfId="0" applyNumberFormat="1" applyAlignment="1">
      <alignment vertical="center" wrapText="1"/>
    </xf>
    <xf numFmtId="0" fontId="12" fillId="0" borderId="5" xfId="0" applyFont="1" applyBorder="1" applyAlignment="1">
      <alignment horizontal="center" vertical="center"/>
    </xf>
    <xf numFmtId="0" fontId="0" fillId="0" borderId="5" xfId="0" applyBorder="1" applyAlignment="1">
      <alignment horizontal="center" vertical="center"/>
    </xf>
    <xf numFmtId="0" fontId="12" fillId="0" borderId="6" xfId="0" applyFont="1" applyBorder="1" applyAlignment="1">
      <alignment horizontal="center" vertical="center"/>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0" xfId="0" applyBorder="1"/>
    <xf numFmtId="0" fontId="0" fillId="0" borderId="14" xfId="0" applyBorder="1"/>
    <xf numFmtId="0" fontId="0" fillId="0" borderId="9" xfId="0" applyBorder="1"/>
    <xf numFmtId="0" fontId="0" fillId="0" borderId="7" xfId="0" applyBorder="1"/>
    <xf numFmtId="0" fontId="0" fillId="0" borderId="16" xfId="0" applyBorder="1" applyAlignment="1">
      <alignment horizontal="center"/>
    </xf>
    <xf numFmtId="170" fontId="0" fillId="0" borderId="0" xfId="0" applyNumberFormat="1"/>
    <xf numFmtId="0" fontId="0" fillId="0" borderId="18" xfId="0" applyBorder="1"/>
    <xf numFmtId="0" fontId="2" fillId="0" borderId="18" xfId="0" applyFont="1" applyBorder="1"/>
    <xf numFmtId="166" fontId="0" fillId="0" borderId="19" xfId="0" applyNumberFormat="1" applyBorder="1"/>
    <xf numFmtId="10" fontId="0" fillId="0" borderId="19" xfId="2" applyNumberFormat="1" applyFont="1" applyBorder="1"/>
    <xf numFmtId="0" fontId="0" fillId="0" borderId="20" xfId="0" applyBorder="1"/>
    <xf numFmtId="0" fontId="0" fillId="0" borderId="21" xfId="0" applyBorder="1"/>
    <xf numFmtId="0" fontId="0" fillId="0" borderId="22" xfId="0" applyBorder="1"/>
    <xf numFmtId="0" fontId="2" fillId="0" borderId="23" xfId="0" applyFont="1" applyBorder="1"/>
    <xf numFmtId="0" fontId="0" fillId="0" borderId="4" xfId="0" applyBorder="1" applyAlignment="1">
      <alignment horizontal="center" vertical="center"/>
    </xf>
    <xf numFmtId="10" fontId="0" fillId="0" borderId="4" xfId="2" applyNumberFormat="1" applyFont="1" applyBorder="1"/>
    <xf numFmtId="10" fontId="0" fillId="0" borderId="24" xfId="2" applyNumberFormat="1" applyFont="1" applyBorder="1"/>
    <xf numFmtId="0" fontId="0" fillId="0" borderId="23" xfId="0" applyBorder="1"/>
    <xf numFmtId="0" fontId="0" fillId="0" borderId="5" xfId="0" applyBorder="1"/>
    <xf numFmtId="0" fontId="2" fillId="0" borderId="5" xfId="0" applyFont="1" applyBorder="1"/>
    <xf numFmtId="166" fontId="0" fillId="0" borderId="6" xfId="0" applyNumberFormat="1" applyBorder="1"/>
    <xf numFmtId="10" fontId="0" fillId="0" borderId="6" xfId="2" applyNumberFormat="1" applyFont="1" applyBorder="1"/>
    <xf numFmtId="0" fontId="0" fillId="0" borderId="8" xfId="0" applyBorder="1"/>
    <xf numFmtId="165" fontId="0" fillId="0" borderId="10" xfId="0" applyNumberFormat="1" applyBorder="1"/>
    <xf numFmtId="10" fontId="0" fillId="0" borderId="11" xfId="0" applyNumberFormat="1" applyBorder="1"/>
    <xf numFmtId="10" fontId="0" fillId="0" borderId="12" xfId="0" applyNumberFormat="1" applyBorder="1"/>
    <xf numFmtId="0" fontId="0" fillId="0" borderId="18" xfId="0" applyBorder="1" applyAlignment="1">
      <alignment vertical="center" wrapText="1"/>
    </xf>
    <xf numFmtId="166" fontId="0" fillId="0" borderId="19" xfId="0" applyNumberFormat="1" applyBorder="1" applyAlignment="1">
      <alignment vertical="center" wrapText="1"/>
    </xf>
    <xf numFmtId="10" fontId="0" fillId="0" borderId="19" xfId="0" applyNumberFormat="1" applyBorder="1"/>
    <xf numFmtId="10" fontId="0" fillId="0" borderId="19" xfId="0" applyNumberFormat="1" applyBorder="1" applyAlignment="1">
      <alignment vertical="center" wrapText="1"/>
    </xf>
    <xf numFmtId="0" fontId="10" fillId="0" borderId="20" xfId="0" applyFont="1" applyBorder="1" applyAlignment="1">
      <alignment horizontal="center"/>
    </xf>
    <xf numFmtId="10" fontId="0" fillId="0" borderId="4" xfId="0" applyNumberFormat="1" applyBorder="1"/>
    <xf numFmtId="10" fontId="0" fillId="0" borderId="24" xfId="0" applyNumberFormat="1" applyBorder="1"/>
    <xf numFmtId="166" fontId="0" fillId="0" borderId="4" xfId="0" applyNumberFormat="1" applyBorder="1"/>
    <xf numFmtId="166" fontId="0" fillId="0" borderId="24" xfId="0" applyNumberFormat="1" applyBorder="1"/>
    <xf numFmtId="0" fontId="0" fillId="0" borderId="5" xfId="0" applyBorder="1" applyAlignment="1">
      <alignment vertical="center" wrapText="1"/>
    </xf>
    <xf numFmtId="0" fontId="2" fillId="0" borderId="5" xfId="0" applyFont="1" applyBorder="1" applyAlignment="1">
      <alignment vertical="center" wrapText="1"/>
    </xf>
    <xf numFmtId="166" fontId="0" fillId="0" borderId="6" xfId="0" applyNumberFormat="1" applyBorder="1" applyAlignment="1">
      <alignment vertical="center" wrapText="1"/>
    </xf>
    <xf numFmtId="1" fontId="0" fillId="0" borderId="6" xfId="0" applyNumberFormat="1" applyBorder="1"/>
    <xf numFmtId="0" fontId="2" fillId="0" borderId="18" xfId="0" applyFont="1" applyBorder="1" applyAlignment="1">
      <alignment vertical="center" wrapText="1"/>
    </xf>
    <xf numFmtId="0" fontId="2" fillId="0" borderId="23" xfId="0" applyFont="1" applyBorder="1" applyAlignment="1">
      <alignment vertical="center" wrapText="1"/>
    </xf>
    <xf numFmtId="2" fontId="0" fillId="0" borderId="19" xfId="0" applyNumberFormat="1" applyBorder="1" applyAlignment="1">
      <alignment vertical="center" wrapText="1"/>
    </xf>
    <xf numFmtId="2" fontId="0" fillId="0" borderId="19" xfId="0" applyNumberFormat="1" applyBorder="1"/>
    <xf numFmtId="2" fontId="0" fillId="0" borderId="4" xfId="0" applyNumberFormat="1" applyBorder="1"/>
    <xf numFmtId="2" fontId="0" fillId="0" borderId="24" xfId="0" applyNumberFormat="1" applyBorder="1"/>
    <xf numFmtId="168" fontId="0" fillId="0" borderId="19" xfId="0" applyNumberFormat="1" applyBorder="1"/>
    <xf numFmtId="168" fontId="0" fillId="0" borderId="4" xfId="0" applyNumberFormat="1" applyBorder="1"/>
    <xf numFmtId="168" fontId="0" fillId="0" borderId="24" xfId="0" applyNumberFormat="1" applyBorder="1"/>
    <xf numFmtId="1" fontId="0" fillId="0" borderId="19" xfId="0" applyNumberFormat="1" applyBorder="1"/>
    <xf numFmtId="1" fontId="0" fillId="0" borderId="4" xfId="0" applyNumberFormat="1" applyBorder="1"/>
    <xf numFmtId="1" fontId="0" fillId="0" borderId="24" xfId="0" applyNumberFormat="1" applyBorder="1"/>
    <xf numFmtId="10" fontId="0" fillId="0" borderId="19" xfId="2" applyNumberFormat="1" applyFont="1" applyBorder="1" applyAlignment="1">
      <alignment vertical="center" wrapText="1"/>
    </xf>
    <xf numFmtId="171" fontId="0" fillId="0" borderId="0" xfId="0" applyNumberFormat="1"/>
    <xf numFmtId="0" fontId="0" fillId="9" borderId="0" xfId="0" applyFill="1"/>
    <xf numFmtId="164" fontId="2" fillId="0" borderId="0" xfId="0" applyNumberFormat="1" applyFont="1"/>
    <xf numFmtId="165" fontId="7" fillId="4" borderId="12" xfId="0" applyNumberFormat="1" applyFont="1" applyFill="1" applyBorder="1"/>
    <xf numFmtId="165" fontId="7" fillId="4" borderId="13" xfId="0" applyNumberFormat="1" applyFont="1" applyFill="1" applyBorder="1"/>
    <xf numFmtId="165" fontId="7" fillId="4" borderId="10" xfId="0" applyNumberFormat="1" applyFont="1" applyFill="1" applyBorder="1"/>
    <xf numFmtId="165" fontId="0" fillId="10" borderId="14" xfId="0" applyNumberFormat="1" applyFill="1" applyBorder="1"/>
    <xf numFmtId="165" fontId="0" fillId="10" borderId="0" xfId="1" applyNumberFormat="1" applyFont="1" applyFill="1" applyBorder="1" applyAlignment="1">
      <alignment horizontal="right"/>
    </xf>
    <xf numFmtId="165" fontId="0" fillId="10" borderId="0" xfId="0" applyNumberFormat="1" applyFill="1"/>
    <xf numFmtId="165" fontId="0" fillId="10" borderId="15" xfId="0" applyNumberFormat="1" applyFill="1" applyBorder="1"/>
    <xf numFmtId="165" fontId="2" fillId="11" borderId="14" xfId="0" applyNumberFormat="1" applyFont="1" applyFill="1" applyBorder="1"/>
    <xf numFmtId="165" fontId="6" fillId="11" borderId="0" xfId="0" applyNumberFormat="1" applyFont="1" applyFill="1"/>
    <xf numFmtId="165" fontId="9" fillId="11" borderId="0" xfId="0" applyNumberFormat="1" applyFont="1" applyFill="1"/>
    <xf numFmtId="165" fontId="9" fillId="11" borderId="15" xfId="0" applyNumberFormat="1" applyFont="1" applyFill="1" applyBorder="1"/>
    <xf numFmtId="165" fontId="6" fillId="11" borderId="15" xfId="0" applyNumberFormat="1" applyFont="1" applyFill="1" applyBorder="1"/>
    <xf numFmtId="165" fontId="2" fillId="11" borderId="9" xfId="0" applyNumberFormat="1" applyFont="1" applyFill="1" applyBorder="1"/>
    <xf numFmtId="165" fontId="6" fillId="11" borderId="16" xfId="0" applyNumberFormat="1" applyFont="1" applyFill="1" applyBorder="1"/>
    <xf numFmtId="165" fontId="6" fillId="11" borderId="7" xfId="0" applyNumberFormat="1" applyFont="1" applyFill="1" applyBorder="1"/>
    <xf numFmtId="165" fontId="0" fillId="10" borderId="14" xfId="0" applyNumberFormat="1" applyFill="1" applyBorder="1" applyAlignment="1">
      <alignment wrapText="1"/>
    </xf>
    <xf numFmtId="165" fontId="2" fillId="11" borderId="14" xfId="0" applyNumberFormat="1" applyFont="1" applyFill="1" applyBorder="1" applyAlignment="1">
      <alignment wrapText="1"/>
    </xf>
    <xf numFmtId="165" fontId="5" fillId="11" borderId="0" xfId="0" applyNumberFormat="1" applyFont="1" applyFill="1"/>
    <xf numFmtId="164" fontId="0" fillId="10" borderId="14" xfId="0" applyNumberFormat="1" applyFill="1" applyBorder="1"/>
    <xf numFmtId="164" fontId="0" fillId="10" borderId="0" xfId="0" applyNumberFormat="1" applyFill="1"/>
    <xf numFmtId="164" fontId="0" fillId="10" borderId="15" xfId="0" applyNumberFormat="1" applyFill="1" applyBorder="1"/>
    <xf numFmtId="164" fontId="2" fillId="11" borderId="14" xfId="0" applyNumberFormat="1" applyFont="1" applyFill="1" applyBorder="1"/>
    <xf numFmtId="164" fontId="6" fillId="11" borderId="0" xfId="0" applyNumberFormat="1" applyFont="1" applyFill="1"/>
    <xf numFmtId="164" fontId="6" fillId="11" borderId="15" xfId="0" applyNumberFormat="1" applyFont="1" applyFill="1" applyBorder="1"/>
    <xf numFmtId="164" fontId="2" fillId="11" borderId="9" xfId="0" applyNumberFormat="1" applyFont="1" applyFill="1" applyBorder="1"/>
    <xf numFmtId="164" fontId="6" fillId="11" borderId="16" xfId="0" applyNumberFormat="1" applyFont="1" applyFill="1" applyBorder="1"/>
    <xf numFmtId="164" fontId="6" fillId="11" borderId="7" xfId="0" applyNumberFormat="1" applyFont="1" applyFill="1" applyBorder="1"/>
    <xf numFmtId="164" fontId="25" fillId="0" borderId="0" xfId="0" applyNumberFormat="1" applyFont="1"/>
    <xf numFmtId="165" fontId="5" fillId="11" borderId="15" xfId="0" applyNumberFormat="1" applyFont="1" applyFill="1" applyBorder="1"/>
    <xf numFmtId="0" fontId="17" fillId="0" borderId="14" xfId="0" applyFont="1" applyBorder="1" applyAlignment="1">
      <alignment horizontal="center" vertical="center"/>
    </xf>
    <xf numFmtId="0" fontId="17" fillId="0" borderId="0" xfId="0" applyFont="1" applyAlignment="1">
      <alignment horizontal="center" vertical="center"/>
    </xf>
    <xf numFmtId="0" fontId="17" fillId="0" borderId="15" xfId="0" applyFont="1" applyBorder="1" applyAlignment="1">
      <alignment horizontal="center" vertical="center"/>
    </xf>
    <xf numFmtId="0" fontId="0" fillId="0" borderId="14" xfId="0" applyBorder="1" applyAlignment="1">
      <alignment vertical="center"/>
    </xf>
    <xf numFmtId="166" fontId="0" fillId="0" borderId="0" xfId="0" applyNumberFormat="1" applyAlignment="1">
      <alignment horizontal="right"/>
    </xf>
    <xf numFmtId="166" fontId="0" fillId="0" borderId="15" xfId="0" applyNumberFormat="1" applyBorder="1" applyAlignment="1">
      <alignment vertical="center"/>
    </xf>
    <xf numFmtId="0" fontId="0" fillId="0" borderId="9" xfId="0" applyBorder="1" applyAlignment="1">
      <alignment vertical="center"/>
    </xf>
    <xf numFmtId="166" fontId="0" fillId="0" borderId="16" xfId="0" applyNumberFormat="1" applyBorder="1" applyAlignment="1">
      <alignment horizontal="right"/>
    </xf>
    <xf numFmtId="166" fontId="0" fillId="0" borderId="7" xfId="0" applyNumberFormat="1" applyBorder="1" applyAlignment="1">
      <alignment vertical="center"/>
    </xf>
    <xf numFmtId="166" fontId="0" fillId="0" borderId="15" xfId="0" applyNumberFormat="1" applyBorder="1"/>
    <xf numFmtId="166" fontId="0" fillId="0" borderId="7" xfId="0" applyNumberFormat="1" applyBorder="1"/>
    <xf numFmtId="166" fontId="0" fillId="0" borderId="16" xfId="0" applyNumberFormat="1" applyBorder="1"/>
    <xf numFmtId="0" fontId="0" fillId="13" borderId="0" xfId="0" applyFill="1"/>
    <xf numFmtId="0" fontId="17" fillId="13" borderId="0" xfId="0" applyFont="1" applyFill="1"/>
    <xf numFmtId="0" fontId="2" fillId="0" borderId="3" xfId="0" applyFont="1" applyBorder="1" applyAlignment="1">
      <alignment vertical="center"/>
    </xf>
    <xf numFmtId="0" fontId="20" fillId="0" borderId="3" xfId="0" applyFont="1" applyBorder="1" applyAlignment="1">
      <alignment vertical="center" wrapText="1"/>
    </xf>
    <xf numFmtId="0" fontId="0" fillId="0" borderId="3" xfId="0" applyBorder="1" applyAlignment="1">
      <alignment wrapText="1"/>
    </xf>
    <xf numFmtId="0" fontId="21" fillId="0" borderId="3" xfId="0" applyFont="1" applyBorder="1" applyAlignment="1">
      <alignment wrapText="1"/>
    </xf>
    <xf numFmtId="0" fontId="26" fillId="0" borderId="0" xfId="0" applyFont="1"/>
    <xf numFmtId="0" fontId="26" fillId="15" borderId="0" xfId="0" applyFont="1" applyFill="1"/>
    <xf numFmtId="0" fontId="26" fillId="17" borderId="0" xfId="0" applyFont="1" applyFill="1"/>
    <xf numFmtId="0" fontId="26" fillId="15" borderId="38" xfId="0" applyFont="1" applyFill="1" applyBorder="1"/>
    <xf numFmtId="0" fontId="26" fillId="15" borderId="39" xfId="0" applyFont="1" applyFill="1" applyBorder="1"/>
    <xf numFmtId="0" fontId="26" fillId="17" borderId="38" xfId="0" applyFont="1" applyFill="1" applyBorder="1"/>
    <xf numFmtId="0" fontId="26" fillId="17" borderId="39" xfId="0" applyFont="1" applyFill="1" applyBorder="1"/>
    <xf numFmtId="0" fontId="30" fillId="14" borderId="26" xfId="0" applyFont="1" applyFill="1" applyBorder="1" applyAlignment="1">
      <alignment vertical="center"/>
    </xf>
    <xf numFmtId="0" fontId="30" fillId="14" borderId="27" xfId="0" applyFont="1" applyFill="1" applyBorder="1" applyAlignment="1">
      <alignment vertical="center"/>
    </xf>
    <xf numFmtId="0" fontId="30" fillId="14" borderId="28" xfId="0" applyFont="1" applyFill="1" applyBorder="1" applyAlignment="1">
      <alignment vertical="center"/>
    </xf>
    <xf numFmtId="0" fontId="30" fillId="16" borderId="26" xfId="0" applyFont="1" applyFill="1" applyBorder="1" applyAlignment="1">
      <alignment vertical="center"/>
    </xf>
    <xf numFmtId="0" fontId="30" fillId="16" borderId="27" xfId="0" applyFont="1" applyFill="1" applyBorder="1" applyAlignment="1">
      <alignment vertical="center"/>
    </xf>
    <xf numFmtId="0" fontId="30" fillId="16" borderId="28" xfId="0" applyFont="1" applyFill="1" applyBorder="1" applyAlignment="1">
      <alignment vertical="center"/>
    </xf>
    <xf numFmtId="0" fontId="31" fillId="15" borderId="29" xfId="0" applyFont="1" applyFill="1" applyBorder="1" applyAlignment="1">
      <alignment vertical="center"/>
    </xf>
    <xf numFmtId="0" fontId="31" fillId="15" borderId="30" xfId="0" applyFont="1" applyFill="1" applyBorder="1" applyAlignment="1">
      <alignment vertical="center"/>
    </xf>
    <xf numFmtId="0" fontId="31" fillId="15" borderId="31" xfId="0" applyFont="1" applyFill="1" applyBorder="1" applyAlignment="1">
      <alignment vertical="center"/>
    </xf>
    <xf numFmtId="0" fontId="31" fillId="15" borderId="32" xfId="0" applyFont="1" applyFill="1" applyBorder="1" applyAlignment="1">
      <alignment vertical="center"/>
    </xf>
    <xf numFmtId="0" fontId="31" fillId="15" borderId="33" xfId="0" applyFont="1" applyFill="1" applyBorder="1" applyAlignment="1">
      <alignment vertical="center"/>
    </xf>
    <xf numFmtId="0" fontId="31" fillId="15" borderId="34" xfId="0" applyFont="1" applyFill="1" applyBorder="1" applyAlignment="1">
      <alignment vertical="center"/>
    </xf>
    <xf numFmtId="0" fontId="32" fillId="15" borderId="29" xfId="0" applyFont="1" applyFill="1" applyBorder="1" applyAlignment="1">
      <alignment vertical="center"/>
    </xf>
    <xf numFmtId="0" fontId="32" fillId="15" borderId="30" xfId="0" applyFont="1" applyFill="1" applyBorder="1" applyAlignment="1">
      <alignment vertical="center"/>
    </xf>
    <xf numFmtId="0" fontId="32" fillId="15" borderId="31" xfId="0" applyFont="1" applyFill="1" applyBorder="1" applyAlignment="1">
      <alignment vertical="center"/>
    </xf>
    <xf numFmtId="0" fontId="32" fillId="15" borderId="32" xfId="0" applyFont="1" applyFill="1" applyBorder="1" applyAlignment="1">
      <alignment vertical="center"/>
    </xf>
    <xf numFmtId="0" fontId="32" fillId="15" borderId="33" xfId="0" applyFont="1" applyFill="1" applyBorder="1" applyAlignment="1">
      <alignment vertical="center"/>
    </xf>
    <xf numFmtId="0" fontId="32" fillId="15" borderId="34" xfId="0" applyFont="1" applyFill="1" applyBorder="1" applyAlignment="1">
      <alignment vertical="center"/>
    </xf>
    <xf numFmtId="1" fontId="0" fillId="0" borderId="0" xfId="0" applyNumberFormat="1" applyAlignment="1">
      <alignment vertical="center"/>
    </xf>
    <xf numFmtId="172" fontId="0" fillId="0" borderId="0" xfId="0" applyNumberFormat="1"/>
    <xf numFmtId="0" fontId="0" fillId="0" borderId="3" xfId="0" applyBorder="1" applyAlignment="1">
      <alignment horizontal="left" vertical="top" wrapText="1"/>
    </xf>
    <xf numFmtId="0" fontId="38" fillId="8" borderId="1" xfId="3" applyFont="1" applyFill="1" applyAlignment="1">
      <alignment horizontal="center"/>
    </xf>
    <xf numFmtId="0" fontId="26" fillId="14" borderId="35" xfId="0" applyFont="1" applyFill="1" applyBorder="1" applyAlignment="1">
      <alignment horizontal="center"/>
    </xf>
    <xf numFmtId="0" fontId="26" fillId="14" borderId="36" xfId="0" applyFont="1" applyFill="1" applyBorder="1" applyAlignment="1">
      <alignment horizontal="center"/>
    </xf>
    <xf numFmtId="0" fontId="26" fillId="14" borderId="37" xfId="0" applyFont="1" applyFill="1" applyBorder="1" applyAlignment="1">
      <alignment horizontal="center"/>
    </xf>
    <xf numFmtId="0" fontId="26" fillId="14" borderId="38" xfId="0" applyFont="1" applyFill="1" applyBorder="1" applyAlignment="1">
      <alignment horizontal="center"/>
    </xf>
    <xf numFmtId="0" fontId="26" fillId="14" borderId="0" xfId="0" applyFont="1" applyFill="1" applyAlignment="1">
      <alignment horizontal="center"/>
    </xf>
    <xf numFmtId="0" fontId="26" fillId="14" borderId="39" xfId="0" applyFont="1" applyFill="1" applyBorder="1" applyAlignment="1">
      <alignment horizontal="center"/>
    </xf>
    <xf numFmtId="0" fontId="36" fillId="15" borderId="40" xfId="0" applyFont="1" applyFill="1" applyBorder="1" applyAlignment="1">
      <alignment horizontal="center" vertical="center"/>
    </xf>
    <xf numFmtId="0" fontId="36" fillId="15" borderId="41" xfId="0" applyFont="1" applyFill="1" applyBorder="1" applyAlignment="1">
      <alignment horizontal="center" vertical="center"/>
    </xf>
    <xf numFmtId="0" fontId="36" fillId="15" borderId="42" xfId="0" applyFont="1" applyFill="1" applyBorder="1" applyAlignment="1">
      <alignment horizontal="center" vertical="center"/>
    </xf>
    <xf numFmtId="0" fontId="42" fillId="15" borderId="38" xfId="0" applyFont="1" applyFill="1" applyBorder="1" applyAlignment="1">
      <alignment horizontal="center"/>
    </xf>
    <xf numFmtId="0" fontId="42" fillId="15" borderId="0" xfId="0" applyFont="1" applyFill="1" applyAlignment="1">
      <alignment horizontal="center"/>
    </xf>
    <xf numFmtId="0" fontId="42" fillId="15" borderId="39" xfId="0" applyFont="1" applyFill="1" applyBorder="1" applyAlignment="1">
      <alignment horizontal="center"/>
    </xf>
    <xf numFmtId="0" fontId="26" fillId="15" borderId="38" xfId="0" applyFont="1" applyFill="1" applyBorder="1" applyAlignment="1">
      <alignment horizontal="center"/>
    </xf>
    <xf numFmtId="0" fontId="26" fillId="15" borderId="0" xfId="0" applyFont="1" applyFill="1" applyAlignment="1">
      <alignment horizontal="center"/>
    </xf>
    <xf numFmtId="0" fontId="26" fillId="15" borderId="39" xfId="0" applyFont="1" applyFill="1" applyBorder="1" applyAlignment="1">
      <alignment horizontal="center"/>
    </xf>
    <xf numFmtId="0" fontId="27" fillId="15" borderId="38" xfId="0" applyFont="1" applyFill="1" applyBorder="1" applyAlignment="1">
      <alignment horizontal="center"/>
    </xf>
    <xf numFmtId="0" fontId="27" fillId="15" borderId="0" xfId="0" applyFont="1" applyFill="1" applyAlignment="1">
      <alignment horizontal="center"/>
    </xf>
    <xf numFmtId="0" fontId="27" fillId="15" borderId="39" xfId="0" applyFont="1" applyFill="1" applyBorder="1" applyAlignment="1">
      <alignment horizontal="center"/>
    </xf>
    <xf numFmtId="0" fontId="28" fillId="15" borderId="38" xfId="0" applyFont="1" applyFill="1" applyBorder="1" applyAlignment="1">
      <alignment horizontal="center" vertical="center"/>
    </xf>
    <xf numFmtId="0" fontId="28" fillId="15" borderId="0" xfId="0" applyFont="1" applyFill="1" applyAlignment="1">
      <alignment horizontal="center" vertical="center"/>
    </xf>
    <xf numFmtId="0" fontId="28" fillId="15" borderId="39" xfId="0" applyFont="1" applyFill="1" applyBorder="1" applyAlignment="1">
      <alignment horizontal="center" vertical="center"/>
    </xf>
    <xf numFmtId="0" fontId="29" fillId="15" borderId="38" xfId="0" applyFont="1" applyFill="1" applyBorder="1" applyAlignment="1">
      <alignment horizontal="center" vertical="center"/>
    </xf>
    <xf numFmtId="0" fontId="29" fillId="15" borderId="0" xfId="0" applyFont="1" applyFill="1" applyAlignment="1">
      <alignment horizontal="center" vertical="center"/>
    </xf>
    <xf numFmtId="0" fontId="29" fillId="15" borderId="39" xfId="0" applyFont="1" applyFill="1" applyBorder="1" applyAlignment="1">
      <alignment horizontal="center" vertical="center"/>
    </xf>
    <xf numFmtId="0" fontId="37" fillId="15" borderId="38" xfId="0" applyFont="1" applyFill="1" applyBorder="1" applyAlignment="1">
      <alignment horizontal="center" vertical="center" wrapText="1"/>
    </xf>
    <xf numFmtId="0" fontId="37" fillId="15" borderId="0" xfId="0" applyFont="1" applyFill="1" applyAlignment="1">
      <alignment horizontal="center" vertical="center" wrapText="1"/>
    </xf>
    <xf numFmtId="0" fontId="37" fillId="15" borderId="39" xfId="0" applyFont="1" applyFill="1" applyBorder="1" applyAlignment="1">
      <alignment horizontal="center" vertical="center" wrapText="1"/>
    </xf>
    <xf numFmtId="0" fontId="33" fillId="15" borderId="38" xfId="0" applyFont="1" applyFill="1" applyBorder="1" applyAlignment="1">
      <alignment horizontal="center" vertical="center"/>
    </xf>
    <xf numFmtId="0" fontId="33" fillId="15" borderId="0" xfId="0" applyFont="1" applyFill="1" applyAlignment="1">
      <alignment horizontal="center" vertical="center"/>
    </xf>
    <xf numFmtId="0" fontId="33" fillId="15" borderId="39" xfId="0" applyFont="1" applyFill="1" applyBorder="1" applyAlignment="1">
      <alignment horizontal="center" vertical="center"/>
    </xf>
    <xf numFmtId="0" fontId="34" fillId="15" borderId="38" xfId="0" applyFont="1" applyFill="1" applyBorder="1" applyAlignment="1">
      <alignment horizontal="center" vertical="center"/>
    </xf>
    <xf numFmtId="0" fontId="34" fillId="15" borderId="0" xfId="0" applyFont="1" applyFill="1" applyAlignment="1">
      <alignment horizontal="center" vertical="center"/>
    </xf>
    <xf numFmtId="0" fontId="34" fillId="15" borderId="39" xfId="0" applyFont="1" applyFill="1" applyBorder="1" applyAlignment="1">
      <alignment horizontal="center" vertical="center"/>
    </xf>
    <xf numFmtId="0" fontId="35" fillId="15" borderId="38" xfId="0" applyFont="1" applyFill="1" applyBorder="1" applyAlignment="1">
      <alignment horizontal="center" vertical="center"/>
    </xf>
    <xf numFmtId="0" fontId="35" fillId="15" borderId="0" xfId="0" applyFont="1" applyFill="1" applyAlignment="1">
      <alignment horizontal="center" vertical="center"/>
    </xf>
    <xf numFmtId="0" fontId="35" fillId="15" borderId="39" xfId="0" applyFont="1" applyFill="1" applyBorder="1" applyAlignment="1">
      <alignment horizontal="center" vertical="center"/>
    </xf>
    <xf numFmtId="164" fontId="4" fillId="2" borderId="14" xfId="0" applyNumberFormat="1" applyFont="1" applyFill="1" applyBorder="1" applyAlignment="1">
      <alignment horizontal="left"/>
    </xf>
    <xf numFmtId="164" fontId="4" fillId="2" borderId="0" xfId="0" applyNumberFormat="1" applyFont="1" applyFill="1" applyAlignment="1">
      <alignment horizontal="left"/>
    </xf>
    <xf numFmtId="164" fontId="4" fillId="2" borderId="15" xfId="0" applyNumberFormat="1" applyFont="1" applyFill="1" applyBorder="1" applyAlignment="1">
      <alignment horizontal="left"/>
    </xf>
    <xf numFmtId="165" fontId="0" fillId="3" borderId="14" xfId="0" applyNumberFormat="1" applyFill="1" applyBorder="1" applyAlignment="1">
      <alignment horizontal="left" wrapText="1"/>
    </xf>
    <xf numFmtId="165" fontId="0" fillId="3" borderId="0" xfId="0" applyNumberFormat="1" applyFill="1" applyAlignment="1">
      <alignment horizontal="left" wrapText="1"/>
    </xf>
    <xf numFmtId="165" fontId="0" fillId="3" borderId="15" xfId="0" applyNumberFormat="1" applyFill="1" applyBorder="1" applyAlignment="1">
      <alignment horizontal="left" wrapText="1"/>
    </xf>
    <xf numFmtId="164" fontId="0" fillId="6" borderId="14" xfId="0" applyNumberFormat="1" applyFill="1" applyBorder="1" applyAlignment="1">
      <alignment horizontal="left"/>
    </xf>
    <xf numFmtId="164" fontId="0" fillId="6" borderId="0" xfId="0" applyNumberFormat="1" applyFill="1" applyAlignment="1">
      <alignment horizontal="left"/>
    </xf>
    <xf numFmtId="164" fontId="0" fillId="6" borderId="15" xfId="0" applyNumberFormat="1" applyFill="1" applyBorder="1" applyAlignment="1">
      <alignment horizontal="left"/>
    </xf>
    <xf numFmtId="165" fontId="4" fillId="2" borderId="14" xfId="0" applyNumberFormat="1" applyFont="1" applyFill="1" applyBorder="1" applyAlignment="1">
      <alignment horizontal="left"/>
    </xf>
    <xf numFmtId="165" fontId="4" fillId="2" borderId="0" xfId="0" applyNumberFormat="1" applyFont="1" applyFill="1" applyAlignment="1">
      <alignment horizontal="left"/>
    </xf>
    <xf numFmtId="165" fontId="4" fillId="2" borderId="15" xfId="0" applyNumberFormat="1" applyFont="1" applyFill="1" applyBorder="1" applyAlignment="1">
      <alignment horizontal="left"/>
    </xf>
    <xf numFmtId="165" fontId="0" fillId="3" borderId="14" xfId="0" applyNumberFormat="1" applyFill="1" applyBorder="1" applyAlignment="1">
      <alignment horizontal="left"/>
    </xf>
    <xf numFmtId="165" fontId="0" fillId="3" borderId="0" xfId="0" applyNumberFormat="1" applyFill="1" applyAlignment="1">
      <alignment horizontal="left"/>
    </xf>
    <xf numFmtId="165" fontId="0" fillId="3" borderId="15" xfId="0" applyNumberFormat="1" applyFill="1" applyBorder="1" applyAlignment="1">
      <alignment horizontal="left"/>
    </xf>
    <xf numFmtId="165" fontId="8" fillId="5" borderId="12" xfId="0" applyNumberFormat="1" applyFont="1" applyFill="1" applyBorder="1" applyAlignment="1">
      <alignment horizontal="left"/>
    </xf>
    <xf numFmtId="165" fontId="8" fillId="5" borderId="13" xfId="0" applyNumberFormat="1" applyFont="1" applyFill="1" applyBorder="1" applyAlignment="1">
      <alignment horizontal="left"/>
    </xf>
    <xf numFmtId="165" fontId="8" fillId="5" borderId="10" xfId="0" applyNumberFormat="1" applyFont="1" applyFill="1" applyBorder="1" applyAlignment="1">
      <alignment horizontal="left"/>
    </xf>
    <xf numFmtId="165" fontId="0" fillId="10" borderId="14" xfId="0" applyNumberFormat="1" applyFill="1" applyBorder="1" applyAlignment="1">
      <alignment horizontal="left"/>
    </xf>
    <xf numFmtId="165" fontId="0" fillId="10" borderId="0" xfId="0" applyNumberFormat="1" applyFill="1" applyAlignment="1">
      <alignment horizontal="left"/>
    </xf>
    <xf numFmtId="165" fontId="0" fillId="10" borderId="15" xfId="0" applyNumberFormat="1" applyFill="1" applyBorder="1" applyAlignment="1">
      <alignment horizontal="left"/>
    </xf>
    <xf numFmtId="165" fontId="2" fillId="10" borderId="14" xfId="0" applyNumberFormat="1" applyFont="1" applyFill="1" applyBorder="1" applyAlignment="1">
      <alignment horizontal="left" wrapText="1"/>
    </xf>
    <xf numFmtId="165" fontId="2" fillId="10" borderId="0" xfId="0" applyNumberFormat="1" applyFont="1" applyFill="1" applyAlignment="1">
      <alignment horizontal="left" wrapText="1"/>
    </xf>
    <xf numFmtId="165" fontId="2" fillId="10" borderId="15" xfId="0" applyNumberFormat="1" applyFont="1" applyFill="1" applyBorder="1" applyAlignment="1">
      <alignment horizontal="left" wrapText="1"/>
    </xf>
    <xf numFmtId="165" fontId="0" fillId="6" borderId="14" xfId="0" applyNumberFormat="1" applyFill="1" applyBorder="1" applyAlignment="1">
      <alignment horizontal="left"/>
    </xf>
    <xf numFmtId="165" fontId="0" fillId="6" borderId="0" xfId="0" applyNumberFormat="1" applyFill="1" applyAlignment="1">
      <alignment horizontal="left"/>
    </xf>
    <xf numFmtId="165" fontId="0" fillId="6" borderId="15" xfId="0" applyNumberFormat="1" applyFill="1" applyBorder="1" applyAlignment="1">
      <alignment horizontal="left"/>
    </xf>
    <xf numFmtId="165" fontId="0" fillId="0" borderId="9" xfId="0" applyNumberFormat="1" applyBorder="1" applyAlignment="1">
      <alignment horizontal="left"/>
    </xf>
    <xf numFmtId="165" fontId="0" fillId="0" borderId="16" xfId="0" applyNumberFormat="1" applyBorder="1" applyAlignment="1">
      <alignment horizontal="left"/>
    </xf>
    <xf numFmtId="165" fontId="0" fillId="0" borderId="7" xfId="0" applyNumberFormat="1" applyBorder="1" applyAlignment="1">
      <alignment horizontal="left"/>
    </xf>
    <xf numFmtId="165" fontId="2" fillId="3" borderId="14" xfId="0" applyNumberFormat="1" applyFont="1" applyFill="1" applyBorder="1" applyAlignment="1">
      <alignment horizontal="left" wrapText="1"/>
    </xf>
    <xf numFmtId="165" fontId="2" fillId="3" borderId="0" xfId="0" applyNumberFormat="1" applyFont="1" applyFill="1" applyAlignment="1">
      <alignment horizontal="left"/>
    </xf>
    <xf numFmtId="165" fontId="2" fillId="3" borderId="15" xfId="0" applyNumberFormat="1" applyFont="1" applyFill="1" applyBorder="1" applyAlignment="1">
      <alignment horizontal="left"/>
    </xf>
    <xf numFmtId="165" fontId="2" fillId="3" borderId="14" xfId="0" applyNumberFormat="1" applyFont="1" applyFill="1" applyBorder="1" applyAlignment="1">
      <alignment horizontal="left"/>
    </xf>
    <xf numFmtId="165" fontId="4" fillId="3" borderId="14" xfId="0" applyNumberFormat="1" applyFont="1" applyFill="1" applyBorder="1" applyAlignment="1">
      <alignment horizontal="left"/>
    </xf>
    <xf numFmtId="165" fontId="4" fillId="3" borderId="0" xfId="0" applyNumberFormat="1" applyFont="1" applyFill="1" applyAlignment="1">
      <alignment horizontal="left"/>
    </xf>
    <xf numFmtId="165" fontId="4" fillId="3" borderId="15" xfId="0" applyNumberFormat="1" applyFont="1" applyFill="1" applyBorder="1" applyAlignment="1">
      <alignment horizontal="left"/>
    </xf>
    <xf numFmtId="164" fontId="0" fillId="0" borderId="0" xfId="0" applyNumberFormat="1" applyAlignment="1">
      <alignment horizontal="center"/>
    </xf>
    <xf numFmtId="165" fontId="0" fillId="0" borderId="0" xfId="0" applyNumberFormat="1" applyAlignment="1">
      <alignment horizontal="center"/>
    </xf>
    <xf numFmtId="164" fontId="4" fillId="3" borderId="14" xfId="0" applyNumberFormat="1" applyFont="1" applyFill="1" applyBorder="1" applyAlignment="1">
      <alignment horizontal="left"/>
    </xf>
    <xf numFmtId="164" fontId="4" fillId="3" borderId="0" xfId="0" applyNumberFormat="1" applyFont="1" applyFill="1" applyAlignment="1">
      <alignment horizontal="left"/>
    </xf>
    <xf numFmtId="164" fontId="4" fillId="3" borderId="15" xfId="0" applyNumberFormat="1" applyFont="1" applyFill="1" applyBorder="1" applyAlignment="1">
      <alignment horizontal="left"/>
    </xf>
    <xf numFmtId="165" fontId="0" fillId="0" borderId="16" xfId="0" applyNumberFormat="1" applyBorder="1" applyAlignment="1">
      <alignment horizontal="right"/>
    </xf>
    <xf numFmtId="165" fontId="39" fillId="18" borderId="0" xfId="0" applyNumberFormat="1" applyFont="1" applyFill="1" applyAlignment="1">
      <alignment horizontal="center"/>
    </xf>
    <xf numFmtId="165" fontId="8" fillId="5" borderId="14" xfId="0" applyNumberFormat="1" applyFont="1" applyFill="1" applyBorder="1" applyAlignment="1">
      <alignment horizontal="left"/>
    </xf>
    <xf numFmtId="165" fontId="8" fillId="5" borderId="0" xfId="0" applyNumberFormat="1" applyFont="1" applyFill="1" applyAlignment="1">
      <alignment horizontal="left"/>
    </xf>
    <xf numFmtId="165" fontId="8" fillId="5" borderId="15" xfId="0" applyNumberFormat="1" applyFont="1" applyFill="1" applyBorder="1" applyAlignment="1">
      <alignment horizontal="left"/>
    </xf>
    <xf numFmtId="0" fontId="0" fillId="0" borderId="0" xfId="0" applyAlignment="1">
      <alignment horizontal="center"/>
    </xf>
    <xf numFmtId="0" fontId="23" fillId="7" borderId="2" xfId="0" applyFont="1" applyFill="1" applyBorder="1" applyAlignment="1">
      <alignment horizontal="center"/>
    </xf>
    <xf numFmtId="0" fontId="40" fillId="4" borderId="0" xfId="3" applyFont="1" applyFill="1" applyBorder="1" applyAlignment="1">
      <alignment horizontal="center"/>
    </xf>
    <xf numFmtId="0" fontId="23" fillId="7" borderId="4" xfId="0" applyFont="1" applyFill="1" applyBorder="1" applyAlignment="1">
      <alignment horizontal="center"/>
    </xf>
    <xf numFmtId="0" fontId="23" fillId="7" borderId="19" xfId="0" applyFont="1" applyFill="1" applyBorder="1" applyAlignment="1">
      <alignment horizontal="center"/>
    </xf>
    <xf numFmtId="0" fontId="19" fillId="7" borderId="25" xfId="0" applyFont="1" applyFill="1" applyBorder="1" applyAlignment="1">
      <alignment horizontal="center"/>
    </xf>
    <xf numFmtId="0" fontId="19" fillId="7" borderId="18" xfId="0" applyFont="1" applyFill="1" applyBorder="1" applyAlignment="1">
      <alignment horizontal="center"/>
    </xf>
    <xf numFmtId="0" fontId="22" fillId="4" borderId="0" xfId="3" applyFont="1" applyFill="1" applyBorder="1" applyAlignment="1">
      <alignment horizontal="center"/>
    </xf>
    <xf numFmtId="0" fontId="23" fillId="7" borderId="25" xfId="0" applyFont="1" applyFill="1" applyBorder="1" applyAlignment="1">
      <alignment horizontal="center"/>
    </xf>
    <xf numFmtId="0" fontId="23" fillId="7" borderId="18" xfId="0" applyFont="1" applyFill="1" applyBorder="1" applyAlignment="1">
      <alignment horizontal="center"/>
    </xf>
    <xf numFmtId="0" fontId="23" fillId="7" borderId="6" xfId="0" applyFont="1" applyFill="1" applyBorder="1" applyAlignment="1">
      <alignment horizontal="center"/>
    </xf>
    <xf numFmtId="0" fontId="19" fillId="7" borderId="17" xfId="0" applyFont="1" applyFill="1" applyBorder="1" applyAlignment="1">
      <alignment horizontal="center"/>
    </xf>
    <xf numFmtId="0" fontId="19" fillId="7" borderId="5" xfId="0" applyFont="1" applyFill="1" applyBorder="1" applyAlignment="1">
      <alignment horizontal="center"/>
    </xf>
    <xf numFmtId="0" fontId="41" fillId="18" borderId="16" xfId="0" applyFont="1" applyFill="1" applyBorder="1" applyAlignment="1">
      <alignment horizontal="center"/>
    </xf>
    <xf numFmtId="0" fontId="39" fillId="18" borderId="0" xfId="0" applyFont="1" applyFill="1" applyAlignment="1">
      <alignment horizontal="center"/>
    </xf>
    <xf numFmtId="0" fontId="23" fillId="12" borderId="12" xfId="0" applyFont="1" applyFill="1" applyBorder="1" applyAlignment="1">
      <alignment horizontal="center"/>
    </xf>
    <xf numFmtId="0" fontId="23" fillId="12" borderId="13" xfId="0" applyFont="1" applyFill="1" applyBorder="1" applyAlignment="1">
      <alignment horizontal="center"/>
    </xf>
    <xf numFmtId="0" fontId="23" fillId="12" borderId="10" xfId="0" applyFont="1" applyFill="1" applyBorder="1" applyAlignment="1">
      <alignment horizontal="center"/>
    </xf>
    <xf numFmtId="0" fontId="43" fillId="4" borderId="0" xfId="3" applyFont="1" applyFill="1" applyBorder="1" applyAlignment="1">
      <alignment horizontal="center"/>
    </xf>
    <xf numFmtId="0" fontId="10" fillId="3" borderId="0" xfId="0" applyFont="1" applyFill="1" applyAlignment="1">
      <alignment horizontal="left"/>
    </xf>
    <xf numFmtId="0" fontId="39" fillId="7" borderId="0" xfId="0" applyFont="1" applyFill="1" applyAlignment="1">
      <alignment horizontal="center"/>
    </xf>
    <xf numFmtId="0" fontId="24" fillId="7" borderId="3" xfId="0" applyFont="1" applyFill="1" applyBorder="1" applyAlignment="1">
      <alignment horizontal="center"/>
    </xf>
  </cellXfs>
  <cellStyles count="5">
    <cellStyle name="Currency" xfId="1" builtinId="4"/>
    <cellStyle name="Heading 1" xfId="3" builtinId="16"/>
    <cellStyle name="Normal" xfId="0" builtinId="0"/>
    <cellStyle name="Normal 2" xfId="4" xr:uid="{E1B8702A-C64B-4848-BD33-F1E85EE52DD8}"/>
    <cellStyle name="Percent" xfId="2" builtinId="5"/>
  </cellStyles>
  <dxfs count="151">
    <dxf>
      <numFmt numFmtId="173" formatCode="[Green]\F;[Red]\U\F"/>
    </dxf>
    <dxf>
      <font>
        <color rgb="FF006100"/>
      </font>
      <fill>
        <patternFill>
          <bgColor rgb="FFC6EFCE"/>
        </patternFill>
      </fill>
    </dxf>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170" formatCode="[Green]0.0%\ &quot;↑&quot;;[Red]\-0.0%\ &quot;↓&quot;;0.0%"/>
      <fill>
        <patternFill patternType="none">
          <fgColor indexed="64"/>
          <bgColor indexed="65"/>
        </patternFill>
      </fill>
    </dxf>
    <dxf>
      <numFmt numFmtId="166" formatCode="_ [$₹-4009]\ * #,##0.00_ ;_ [$₹-4009]\ * \-#,##0.00_ ;_ [$₹-4009]\ * &quot;-&quot;??_ ;_ @_ "/>
    </dxf>
    <dxf>
      <numFmt numFmtId="166" formatCode="_ [$₹-4009]\ * #,##0.00_ ;_ [$₹-4009]\ * \-#,##0.00_ ;_ [$₹-4009]\ * &quot;-&quot;??_ ;_ @_ "/>
    </dxf>
    <dxf>
      <numFmt numFmtId="166" formatCode="_ [$₹-4009]\ * #,##0.00_ ;_ [$₹-4009]\ * \-#,##0.00_ ;_ [$₹-4009]\ * &quot;-&quot;??_ ;_ @_ "/>
    </dxf>
    <dxf>
      <font>
        <b val="0"/>
        <i/>
        <strike val="0"/>
        <condense val="0"/>
        <extend val="0"/>
        <outline val="0"/>
        <shadow val="0"/>
        <u/>
        <vertAlign val="baseline"/>
        <sz val="11"/>
        <color theme="1"/>
        <name val="Aptos Narrow"/>
        <family val="2"/>
        <scheme val="minor"/>
      </font>
      <fill>
        <patternFill patternType="solid">
          <fgColor indexed="64"/>
          <bgColor rgb="FF002060"/>
        </patternFill>
      </fill>
    </dxf>
    <dxf>
      <numFmt numFmtId="170" formatCode="[Green]0.0%\ &quot;↑&quot;;[Red]\-0.0%\ &quot;↓&quot;;0.0%"/>
      <fill>
        <patternFill patternType="none">
          <fgColor indexed="64"/>
          <bgColor indexed="65"/>
        </patternFill>
      </fill>
    </dxf>
    <dxf>
      <numFmt numFmtId="166" formatCode="_ [$₹-4009]\ * #,##0.00_ ;_ [$₹-4009]\ * \-#,##0.00_ ;_ [$₹-4009]\ * &quot;-&quot;??_ ;_ @_ "/>
    </dxf>
    <dxf>
      <numFmt numFmtId="166" formatCode="_ [$₹-4009]\ * #,##0.00_ ;_ [$₹-4009]\ * \-#,##0.00_ ;_ [$₹-4009]\ * &quot;-&quot;??_ ;_ @_ "/>
    </dxf>
    <dxf>
      <numFmt numFmtId="166" formatCode="_ [$₹-4009]\ * #,##0.00_ ;_ [$₹-4009]\ * \-#,##0.00_ ;_ [$₹-4009]\ * &quot;-&quot;??_ ;_ @_ "/>
    </dxf>
    <dxf>
      <font>
        <b val="0"/>
        <i/>
        <strike val="0"/>
        <condense val="0"/>
        <extend val="0"/>
        <outline val="0"/>
        <shadow val="0"/>
        <u/>
        <vertAlign val="baseline"/>
        <sz val="11"/>
        <color theme="1"/>
        <name val="Aptos Narrow"/>
        <family val="2"/>
        <scheme val="minor"/>
      </font>
      <fill>
        <patternFill patternType="solid">
          <fgColor indexed="64"/>
          <bgColor rgb="FF002060"/>
        </patternFill>
      </fill>
    </dxf>
    <dxf>
      <numFmt numFmtId="170" formatCode="[Green]0.0%\ &quot;↑&quot;;[Red]\-0.0%\ &quot;↓&quot;;0.0%"/>
      <fill>
        <patternFill patternType="none">
          <fgColor indexed="64"/>
          <bgColor indexed="65"/>
        </patternFill>
      </fill>
    </dxf>
    <dxf>
      <numFmt numFmtId="166" formatCode="_ [$₹-4009]\ * #,##0.00_ ;_ [$₹-4009]\ * \-#,##0.00_ ;_ [$₹-4009]\ * &quot;-&quot;??_ ;_ @_ "/>
    </dxf>
    <dxf>
      <numFmt numFmtId="166" formatCode="_ [$₹-4009]\ * #,##0.00_ ;_ [$₹-4009]\ * \-#,##0.00_ ;_ [$₹-4009]\ * &quot;-&quot;??_ ;_ @_ "/>
    </dxf>
    <dxf>
      <numFmt numFmtId="166" formatCode="_ [$₹-4009]\ * #,##0.00_ ;_ [$₹-4009]\ * \-#,##0.00_ ;_ [$₹-4009]\ * &quot;-&quot;??_ ;_ @_ "/>
    </dxf>
    <dxf>
      <font>
        <b val="0"/>
        <i/>
        <strike val="0"/>
        <condense val="0"/>
        <extend val="0"/>
        <outline val="0"/>
        <shadow val="0"/>
        <u/>
        <vertAlign val="baseline"/>
        <sz val="11"/>
        <color theme="1"/>
        <name val="Aptos Narrow"/>
        <family val="2"/>
        <scheme val="minor"/>
      </font>
      <fill>
        <patternFill patternType="solid">
          <fgColor indexed="64"/>
          <bgColor rgb="FF002060"/>
        </patternFill>
      </fill>
    </dxf>
    <dxf>
      <numFmt numFmtId="170" formatCode="[Green]0.0%\ &quot;↑&quot;;[Red]\-0.0%\ &quot;↓&quot;;0.0%"/>
      <fill>
        <patternFill patternType="none">
          <fgColor indexed="64"/>
          <bgColor indexed="65"/>
        </patternFill>
      </fill>
    </dxf>
    <dxf>
      <numFmt numFmtId="166" formatCode="_ [$₹-4009]\ * #,##0.00_ ;_ [$₹-4009]\ * \-#,##0.00_ ;_ [$₹-4009]\ * &quot;-&quot;??_ ;_ @_ "/>
    </dxf>
    <dxf>
      <numFmt numFmtId="166" formatCode="_ [$₹-4009]\ * #,##0.00_ ;_ [$₹-4009]\ * \-#,##0.00_ ;_ [$₹-4009]\ * &quot;-&quot;??_ ;_ @_ "/>
    </dxf>
    <dxf>
      <numFmt numFmtId="166" formatCode="_ [$₹-4009]\ * #,##0.00_ ;_ [$₹-4009]\ * \-#,##0.00_ ;_ [$₹-4009]\ * &quot;-&quot;??_ ;_ @_ "/>
    </dxf>
    <dxf>
      <font>
        <b val="0"/>
        <i/>
        <strike val="0"/>
        <condense val="0"/>
        <extend val="0"/>
        <outline val="0"/>
        <shadow val="0"/>
        <u/>
        <vertAlign val="baseline"/>
        <sz val="11"/>
        <color theme="1"/>
        <name val="Aptos Narrow"/>
        <family val="2"/>
        <scheme val="minor"/>
      </font>
      <fill>
        <patternFill patternType="solid">
          <fgColor indexed="64"/>
          <bgColor rgb="FF002060"/>
        </patternFill>
      </fill>
    </dxf>
    <dxf>
      <numFmt numFmtId="170" formatCode="[Green]0.0%\ &quot;↑&quot;;[Red]\-0.0%\ &quot;↓&quot;;0.0%"/>
      <fill>
        <patternFill patternType="none">
          <fgColor indexed="64"/>
          <bgColor indexed="65"/>
        </patternFill>
      </fill>
    </dxf>
    <dxf>
      <numFmt numFmtId="166" formatCode="_ [$₹-4009]\ * #,##0.00_ ;_ [$₹-4009]\ * \-#,##0.00_ ;_ [$₹-4009]\ * &quot;-&quot;??_ ;_ @_ "/>
    </dxf>
    <dxf>
      <numFmt numFmtId="166" formatCode="_ [$₹-4009]\ * #,##0.00_ ;_ [$₹-4009]\ * \-#,##0.00_ ;_ [$₹-4009]\ * &quot;-&quot;??_ ;_ @_ "/>
    </dxf>
    <dxf>
      <numFmt numFmtId="166" formatCode="_ [$₹-4009]\ * #,##0.00_ ;_ [$₹-4009]\ * \-#,##0.00_ ;_ [$₹-4009]\ * &quot;-&quot;??_ ;_ @_ "/>
    </dxf>
    <dxf>
      <font>
        <b val="0"/>
        <i/>
        <strike val="0"/>
        <condense val="0"/>
        <extend val="0"/>
        <outline val="0"/>
        <shadow val="0"/>
        <u/>
        <vertAlign val="baseline"/>
        <sz val="11"/>
        <color theme="1"/>
        <name val="Aptos Narrow"/>
        <family val="2"/>
        <scheme val="minor"/>
      </font>
      <fill>
        <patternFill patternType="solid">
          <fgColor indexed="64"/>
          <bgColor rgb="FF002060"/>
        </patternFill>
      </fill>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alignment horizontal="general" vertical="center" textRotation="0" wrapText="0" indent="0" justifyLastLine="0" shrinkToFit="0" readingOrder="0"/>
    </dxf>
    <dxf>
      <numFmt numFmtId="166" formatCode="_ [$₹-4009]\ * #,##0.00_ ;_ [$₹-4009]\ * \-#,##0.00_ ;_ [$₹-4009]\ * &quot;-&quot;??_ ;_ @_ "/>
      <alignment horizontal="right" vertical="bottom" textRotation="0" wrapText="0" indent="0" justifyLastLine="0" shrinkToFit="0" readingOrder="0"/>
    </dxf>
    <dxf>
      <alignment horizontal="general" vertical="center" textRotation="0" wrapText="0" indent="0" justifyLastLine="0" shrinkToFit="0" readingOrder="0"/>
    </dxf>
    <dxf>
      <font>
        <b val="0"/>
        <i/>
        <strike val="0"/>
        <condense val="0"/>
        <extend val="0"/>
        <outline val="0"/>
        <shadow val="0"/>
        <u/>
        <vertAlign val="baseline"/>
        <sz val="11"/>
        <color theme="1"/>
        <name val="Aptos Narrow"/>
        <family val="2"/>
        <scheme val="minor"/>
      </font>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0" indent="0" justifyLastLine="0" shrinkToFit="0" readingOrder="0"/>
    </dxf>
    <dxf>
      <font>
        <b val="0"/>
        <i/>
        <strike val="0"/>
        <condense val="0"/>
        <extend val="0"/>
        <outline val="0"/>
        <shadow val="0"/>
        <u/>
        <vertAlign val="baseline"/>
        <sz val="11"/>
        <color theme="1"/>
        <name val="Aptos Narrow"/>
        <family val="2"/>
        <scheme val="minor"/>
      </font>
    </dxf>
    <dxf>
      <alignment horizontal="center" vertical="center" textRotation="0" wrapText="1" indent="0" justifyLastLine="0" shrinkToFit="0" readingOrder="0"/>
      <border diagonalUp="0" diagonalDown="0" outline="0">
        <left style="thin">
          <color indexed="64"/>
        </left>
        <right/>
        <top style="thin">
          <color indexed="64"/>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ertAlign val="baseline"/>
        <sz val="18"/>
        <color theme="3"/>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ertAlign val="baseline"/>
        <sz val="18"/>
        <color theme="3"/>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ertAlign val="baseline"/>
        <sz val="18"/>
        <color theme="3"/>
        <name val="Aptos Narrow"/>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8"/>
        <color theme="3"/>
        <name val="Aptos Narrow"/>
        <family val="2"/>
        <scheme val="minor"/>
      </font>
      <alignment horizontal="center" vertical="bottom" textRotation="0" wrapText="0" indent="0" justifyLastLine="0" shrinkToFit="0" readingOrder="0"/>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numFmt numFmtId="2" formatCode="0.00"/>
      <border diagonalUp="0" diagonalDown="0">
        <left style="thin">
          <color theme="1" tint="0.499984740745262"/>
        </left>
        <right/>
        <top style="thin">
          <color theme="1" tint="0.499984740745262"/>
        </top>
        <bottom/>
        <vertical/>
        <horizontal/>
      </border>
    </dxf>
    <dxf>
      <numFmt numFmtId="2" formatCode="0.00"/>
      <border diagonalUp="0" diagonalDown="0">
        <left style="thin">
          <color theme="1" tint="0.499984740745262"/>
        </left>
        <right style="thin">
          <color theme="1" tint="0.499984740745262"/>
        </right>
        <top style="thin">
          <color theme="1" tint="0.499984740745262"/>
        </top>
        <bottom/>
        <vertical/>
        <horizontal/>
      </border>
    </dxf>
    <dxf>
      <numFmt numFmtId="2" formatCode="0.00"/>
      <border diagonalUp="0" diagonalDown="0">
        <left style="thin">
          <color theme="1" tint="0.499984740745262"/>
        </left>
        <right style="thin">
          <color theme="1" tint="0.499984740745262"/>
        </right>
        <top style="thin">
          <color theme="1" tint="0.499984740745262"/>
        </top>
        <bottom/>
        <vertical/>
        <horizontal/>
      </border>
    </dxf>
    <dxf>
      <numFmt numFmtId="2" formatCode="0.00"/>
      <border diagonalUp="0" diagonalDown="0">
        <left style="thin">
          <color theme="1" tint="0.499984740745262"/>
        </left>
        <right style="thin">
          <color theme="1" tint="0.499984740745262"/>
        </right>
        <top style="thin">
          <color theme="1" tint="0.499984740745262"/>
        </top>
        <bottom/>
        <vertical/>
        <horizontal/>
      </border>
    </dxf>
    <dxf>
      <numFmt numFmtId="2" formatCode="0.00"/>
      <border diagonalUp="0" diagonalDown="0">
        <left style="thin">
          <color theme="1" tint="0.499984740745262"/>
        </left>
        <right style="thin">
          <color theme="1" tint="0.499984740745262"/>
        </right>
        <top style="thin">
          <color theme="1" tint="0.499984740745262"/>
        </top>
        <bottom/>
        <vertical/>
        <horizontal/>
      </border>
    </dxf>
    <dxf>
      <border diagonalUp="0" diagonalDown="0">
        <left/>
        <right style="thin">
          <color theme="1" tint="0.499984740745262"/>
        </right>
        <top style="thin">
          <color theme="1" tint="0.499984740745262"/>
        </top>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numFmt numFmtId="168" formatCode="0.0000"/>
      <border diagonalUp="0" diagonalDown="0">
        <left style="thin">
          <color theme="1" tint="0.499984740745262"/>
        </left>
        <right/>
        <top style="thin">
          <color theme="1" tint="0.499984740745262"/>
        </top>
        <bottom style="thin">
          <color theme="1" tint="0.499984740745262"/>
        </bottom>
        <vertical/>
        <horizontal/>
      </border>
    </dxf>
    <dxf>
      <numFmt numFmtId="168" formatCode="0.0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8" formatCode="0.0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8" formatCode="0.0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8" formatCode="0.0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font>
        <b val="0"/>
        <i val="0"/>
        <strike val="0"/>
        <condense val="0"/>
        <extend val="0"/>
        <outline val="0"/>
        <shadow val="0"/>
        <u val="none"/>
        <vertAlign val="baseline"/>
        <sz val="11"/>
        <color theme="1"/>
        <name val="Aptos Narrow"/>
        <family val="2"/>
        <scheme val="minor"/>
      </font>
      <numFmt numFmtId="14" formatCode="0.00%"/>
      <border diagonalUp="0" diagonalDown="0">
        <left style="thin">
          <color theme="1" tint="0.499984740745262"/>
        </left>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1"/>
        <name val="Aptos Narrow"/>
        <family val="2"/>
        <scheme val="minor"/>
      </font>
      <numFmt numFmtId="14" formatCode="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1"/>
        <name val="Aptos Narrow"/>
        <family val="2"/>
        <scheme val="minor"/>
      </font>
      <numFmt numFmtId="14" formatCode="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1"/>
        <name val="Aptos Narrow"/>
        <family val="2"/>
        <scheme val="minor"/>
      </font>
      <numFmt numFmtId="14" formatCode="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val="0"/>
        <i val="0"/>
        <strike val="0"/>
        <condense val="0"/>
        <extend val="0"/>
        <outline val="0"/>
        <shadow val="0"/>
        <u val="none"/>
        <vertAlign val="baseline"/>
        <sz val="11"/>
        <color theme="1"/>
        <name val="Aptos Narrow"/>
        <family val="2"/>
        <scheme val="minor"/>
      </font>
      <numFmt numFmtId="14" formatCode="0.0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theme="1"/>
        <name val="Aptos Narrow"/>
        <family val="2"/>
        <scheme val="minor"/>
      </font>
    </dxf>
    <dxf>
      <border outline="0">
        <bottom style="thin">
          <color theme="1" tint="0.499984740745262"/>
        </bottom>
      </border>
    </dxf>
    <dxf>
      <border diagonalUp="0" diagonalDown="0" outline="0">
        <left style="thin">
          <color theme="1" tint="0.499984740745262"/>
        </left>
        <right style="thin">
          <color theme="1" tint="0.499984740745262"/>
        </right>
        <top/>
        <bottom/>
      </border>
    </dxf>
    <dxf>
      <numFmt numFmtId="166" formatCode="_ [$₹-4009]\ * #,##0.00_ ;_ [$₹-4009]\ * \-#,##0.00_ ;_ [$₹-4009]\ * &quot;-&quot;??_ ;_ @_ "/>
      <border diagonalUp="0" diagonalDown="0">
        <left style="thin">
          <color theme="1" tint="0.499984740745262"/>
        </left>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6" formatCode="_ [$₹-4009]\ * #,##0.00_ ;_ [$₹-4009]\ * \-#,##0.00_ ;_ [$₹-4009]\ * &quot;-&quot;??_ ;_ @_ "/>
      <border diagonalUp="0" diagonalDown="0">
        <left style="thin">
          <color theme="1" tint="0.499984740745262"/>
        </left>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font>
        <b/>
        <i val="0"/>
        <strike val="0"/>
        <condense val="0"/>
        <extend val="0"/>
        <outline val="0"/>
        <shadow val="0"/>
        <u val="none"/>
        <vertAlign val="baseline"/>
        <sz val="11"/>
        <color theme="1"/>
        <name val="Aptos Narrow"/>
        <family val="2"/>
        <scheme val="minor"/>
      </font>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66" formatCode="_ [$₹-4009]\ * #,##0.00_ ;_ [$₹-4009]\ * \-#,##0.00_ ;_ [$₹-4009]\ * &quot;-&quot;??_ ;_ @_ "/>
      <border diagonalUp="0" diagonalDown="0">
        <left style="thin">
          <color theme="1" tint="0.499984740745262"/>
        </left>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numFmt numFmtId="166" formatCode="_ [$₹-4009]\ * #,##0.00_ ;_ [$₹-4009]\ * \-#,##0.00_ ;_ [$₹-4009]\ * &quot;-&quot;??_ ;_ @_ "/>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border diagonalUp="0" diagonalDown="0">
        <left/>
        <right style="thin">
          <color theme="1" tint="0.499984740745262"/>
        </right>
        <top style="thin">
          <color theme="1" tint="0.499984740745262"/>
        </top>
        <bottom style="thin">
          <color theme="1" tint="0.499984740745262"/>
        </bottom>
        <vertical/>
        <horizontal/>
      </border>
    </dxf>
    <dxf>
      <border outline="0">
        <top style="thin">
          <color theme="1" tint="0.499984740745262"/>
        </top>
      </border>
    </dxf>
    <dxf>
      <border outline="0">
        <left style="thin">
          <color theme="1" tint="0.499984740745262"/>
        </left>
        <right style="thin">
          <color theme="1" tint="0.499984740745262"/>
        </right>
        <top style="thin">
          <color theme="1" tint="0.499984740745262"/>
        </top>
        <bottom style="thin">
          <color theme="1" tint="0.499984740745262"/>
        </bottom>
      </border>
    </dxf>
    <dxf>
      <border outline="0">
        <bottom style="thin">
          <color theme="1" tint="0.499984740745262"/>
        </bottom>
      </border>
    </dxf>
    <dxf>
      <border diagonalUp="0" diagonalDown="0" outline="0">
        <left style="thin">
          <color theme="1" tint="0.499984740745262"/>
        </left>
        <right style="thin">
          <color theme="1" tint="0.499984740745262"/>
        </right>
        <top/>
        <bottom/>
      </border>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66" formatCode="_ [$₹-4009]\ * #,##0.00_ ;_ [$₹-4009]\ * \-#,##0.00_ ;_ [$₹-4009]\ * &quot;-&quot;??_ ;_ @_ "/>
    </dxf>
    <dxf>
      <numFmt numFmtId="171" formatCode="[$₹-4009]\ #,##0.00"/>
    </dxf>
    <dxf>
      <fill>
        <patternFill patternType="solid">
          <fgColor indexed="64"/>
          <bgColor theme="7" tint="-0.499984740745262"/>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REVENUE</a:t>
            </a:r>
          </a:p>
        </c:rich>
      </c:tx>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dashboard!$B$2:$G$2</c:f>
              <c:strCache>
                <c:ptCount val="6"/>
                <c:pt idx="0">
                  <c:v>FY2021</c:v>
                </c:pt>
                <c:pt idx="1">
                  <c:v>FY2022</c:v>
                </c:pt>
                <c:pt idx="2">
                  <c:v>FY2023</c:v>
                </c:pt>
                <c:pt idx="3">
                  <c:v>FY2024</c:v>
                </c:pt>
                <c:pt idx="4">
                  <c:v>FY2025</c:v>
                </c:pt>
                <c:pt idx="5">
                  <c:v>FY2026</c:v>
                </c:pt>
              </c:strCache>
            </c:strRef>
          </c:cat>
          <c:val>
            <c:numRef>
              <c:f>dashboard!$B$3:$G$3</c:f>
              <c:numCache>
                <c:formatCode>_ [$₹-4009]\ * #,##0.00_ ;_ [$₹-4009]\ * \-#,##0.00_ ;_ [$₹-4009]\ * "-"??_ ;_ @_ </c:formatCode>
                <c:ptCount val="6"/>
                <c:pt idx="0" formatCode="[$₹-4009]\ #,##0.00">
                  <c:v>164177</c:v>
                </c:pt>
                <c:pt idx="1">
                  <c:v>191754</c:v>
                </c:pt>
                <c:pt idx="2">
                  <c:v>225458</c:v>
                </c:pt>
                <c:pt idx="3">
                  <c:v>240893</c:v>
                </c:pt>
                <c:pt idx="4">
                  <c:v>255324</c:v>
                </c:pt>
                <c:pt idx="5">
                  <c:v>271715.80080000003</c:v>
                </c:pt>
              </c:numCache>
            </c:numRef>
          </c:val>
          <c:smooth val="0"/>
          <c:extLst>
            <c:ext xmlns:c16="http://schemas.microsoft.com/office/drawing/2014/chart" uri="{C3380CC4-5D6E-409C-BE32-E72D297353CC}">
              <c16:uniqueId val="{00000000-DE1B-4AC9-863C-D8F30A4BFFD0}"/>
            </c:ext>
          </c:extLst>
        </c:ser>
        <c:dLbls>
          <c:dLblPos val="b"/>
          <c:showLegendKey val="0"/>
          <c:showVal val="1"/>
          <c:showCatName val="0"/>
          <c:showSerName val="0"/>
          <c:showPercent val="0"/>
          <c:showBubbleSize val="0"/>
        </c:dLbls>
        <c:dropLines>
          <c:spPr>
            <a:ln w="9525">
              <a:solidFill>
                <a:schemeClr val="lt1">
                  <a:lumMod val="95000"/>
                  <a:alpha val="54000"/>
                </a:schemeClr>
              </a:solidFill>
              <a:prstDash val="dash"/>
            </a:ln>
            <a:effectLst/>
          </c:spPr>
        </c:dropLines>
        <c:smooth val="0"/>
        <c:axId val="28725056"/>
        <c:axId val="29595824"/>
      </c:lineChart>
      <c:catAx>
        <c:axId val="28725056"/>
        <c:scaling>
          <c:orientation val="minMax"/>
        </c:scaling>
        <c:delete val="0"/>
        <c:axPos val="b"/>
        <c:title>
          <c:tx>
            <c:rich>
              <a:bodyPr rot="0" spcFirstLastPara="1" vertOverflow="ellipsis" vert="horz" wrap="square" anchor="ctr" anchorCtr="1"/>
              <a:lstStyle/>
              <a:p>
                <a:pPr algn="r">
                  <a:defRPr sz="900" b="1" i="0" u="none" strike="noStrike" kern="1200" cap="all" baseline="0">
                    <a:solidFill>
                      <a:schemeClr val="lt1">
                        <a:lumMod val="85000"/>
                      </a:schemeClr>
                    </a:solidFill>
                    <a:latin typeface="+mn-lt"/>
                    <a:ea typeface="+mn-ea"/>
                    <a:cs typeface="+mn-cs"/>
                  </a:defRPr>
                </a:pPr>
                <a:r>
                  <a:rPr lang="en-IN" sz="800" b="1" i="0" u="none" strike="noStrike" cap="all" baseline="0"/>
                  <a:t>FY2021–FY2025: Actual | FY2026: Forecast</a:t>
                </a:r>
                <a:endParaRPr lang="en-IN" sz="800"/>
              </a:p>
            </c:rich>
          </c:tx>
          <c:layout>
            <c:manualLayout>
              <c:xMode val="edge"/>
              <c:yMode val="edge"/>
              <c:x val="0.58114480345085684"/>
              <c:y val="0.88993905379927229"/>
            </c:manualLayout>
          </c:layout>
          <c:overlay val="0"/>
          <c:spPr>
            <a:noFill/>
            <a:ln>
              <a:noFill/>
            </a:ln>
            <a:effectLst/>
          </c:spPr>
          <c:txPr>
            <a:bodyPr rot="0" spcFirstLastPara="1" vertOverflow="ellipsis" vert="horz" wrap="square" anchor="ctr" anchorCtr="1"/>
            <a:lstStyle/>
            <a:p>
              <a:pPr algn="r">
                <a:defRPr sz="900" b="1" i="0" u="none" strike="noStrike" kern="1200" cap="all" baseline="0">
                  <a:solidFill>
                    <a:schemeClr val="lt1">
                      <a:lumMod val="85000"/>
                    </a:schemeClr>
                  </a:solidFill>
                  <a:latin typeface="+mn-lt"/>
                  <a:ea typeface="+mn-ea"/>
                  <a:cs typeface="+mn-cs"/>
                </a:defRPr>
              </a:pPr>
              <a:endParaRPr lang="en-IN"/>
            </a:p>
          </c:txPr>
        </c:title>
        <c:numFmt formatCode="yyyy"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95824"/>
        <c:crosses val="autoZero"/>
        <c:auto val="1"/>
        <c:lblAlgn val="ctr"/>
        <c:lblOffset val="100"/>
        <c:noMultiLvlLbl val="0"/>
      </c:catAx>
      <c:valAx>
        <c:axId val="2959582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25056"/>
        <c:crossesAt val="1"/>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EXPENSE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gradFill flip="none" rotWithShape="1">
                <a:gsLst>
                  <a:gs pos="13000">
                    <a:schemeClr val="accent1">
                      <a:lumMod val="5000"/>
                      <a:lumOff val="95000"/>
                    </a:schemeClr>
                  </a:gs>
                  <a:gs pos="51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dashboard!$B$2:$G$2</c:f>
              <c:strCache>
                <c:ptCount val="6"/>
                <c:pt idx="0">
                  <c:v>FY2021</c:v>
                </c:pt>
                <c:pt idx="1">
                  <c:v>FY2022</c:v>
                </c:pt>
                <c:pt idx="2">
                  <c:v>FY2023</c:v>
                </c:pt>
                <c:pt idx="3">
                  <c:v>FY2024</c:v>
                </c:pt>
                <c:pt idx="4">
                  <c:v>FY2025</c:v>
                </c:pt>
                <c:pt idx="5">
                  <c:v>FY2026</c:v>
                </c:pt>
              </c:strCache>
            </c:strRef>
          </c:cat>
          <c:val>
            <c:numRef>
              <c:f>dashboard!$B$4:$G$4</c:f>
              <c:numCache>
                <c:formatCode>_ [$₹-4009]\ * #,##0.00_ ;_ [$₹-4009]\ * \-#,##0.00_ ;_ [$₹-4009]\ * "-"??_ ;_ @_ </c:formatCode>
                <c:ptCount val="6"/>
                <c:pt idx="0" formatCode="[$₹-4009]\ #,##0.00">
                  <c:v>122333</c:v>
                </c:pt>
                <c:pt idx="1">
                  <c:v>144085</c:v>
                </c:pt>
                <c:pt idx="2">
                  <c:v>172000</c:v>
                </c:pt>
                <c:pt idx="3">
                  <c:v>182360</c:v>
                </c:pt>
                <c:pt idx="4">
                  <c:v>193955</c:v>
                </c:pt>
                <c:pt idx="5">
                  <c:v>203699.69510009704</c:v>
                </c:pt>
              </c:numCache>
            </c:numRef>
          </c:val>
          <c:extLst>
            <c:ext xmlns:c16="http://schemas.microsoft.com/office/drawing/2014/chart" uri="{C3380CC4-5D6E-409C-BE32-E72D297353CC}">
              <c16:uniqueId val="{00000000-AED9-4A1A-B26B-7B648DED3535}"/>
            </c:ext>
          </c:extLst>
        </c:ser>
        <c:dLbls>
          <c:dLblPos val="outEnd"/>
          <c:showLegendKey val="0"/>
          <c:showVal val="1"/>
          <c:showCatName val="0"/>
          <c:showSerName val="0"/>
          <c:showPercent val="0"/>
          <c:showBubbleSize val="0"/>
        </c:dLbls>
        <c:gapWidth val="100"/>
        <c:overlap val="-24"/>
        <c:axId val="1979952015"/>
        <c:axId val="29591024"/>
      </c:barChart>
      <c:catAx>
        <c:axId val="19799520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800" b="1" i="0" u="none" strike="noStrike" kern="1200" cap="all" baseline="0">
                    <a:solidFill>
                      <a:sysClr val="window" lastClr="FFFFFF">
                        <a:lumMod val="85000"/>
                      </a:sysClr>
                    </a:solidFill>
                  </a:rPr>
                  <a:t>FY2021–FY2025: Actual | FY2026: Forecast</a:t>
                </a:r>
              </a:p>
            </c:rich>
          </c:tx>
          <c:layout>
            <c:manualLayout>
              <c:xMode val="edge"/>
              <c:yMode val="edge"/>
              <c:x val="0.5670048298014928"/>
              <c:y val="0.8688464180848506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591024"/>
        <c:crosses val="autoZero"/>
        <c:auto val="1"/>
        <c:lblAlgn val="ctr"/>
        <c:lblOffset val="100"/>
        <c:noMultiLvlLbl val="0"/>
      </c:catAx>
      <c:valAx>
        <c:axId val="29591024"/>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995201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u="sng"/>
              <a:t>EBIT &amp; NET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v>EBIT</c:v>
          </c:tx>
          <c:spPr>
            <a:ln w="22225" cap="rnd">
              <a:solidFill>
                <a:schemeClr val="accent1"/>
              </a:solidFill>
            </a:ln>
            <a:effectLst>
              <a:glow rad="139700">
                <a:schemeClr val="accent1">
                  <a:satMod val="175000"/>
                  <a:alpha val="14000"/>
                </a:schemeClr>
              </a:glow>
            </a:effectLst>
          </c:spPr>
          <c:marker>
            <c:symbol val="none"/>
          </c:marker>
          <c:cat>
            <c:strRef>
              <c:f>dashboard!$B$2:$G$2</c:f>
              <c:strCache>
                <c:ptCount val="6"/>
                <c:pt idx="0">
                  <c:v>FY2021</c:v>
                </c:pt>
                <c:pt idx="1">
                  <c:v>FY2022</c:v>
                </c:pt>
                <c:pt idx="2">
                  <c:v>FY2023</c:v>
                </c:pt>
                <c:pt idx="3">
                  <c:v>FY2024</c:v>
                </c:pt>
                <c:pt idx="4">
                  <c:v>FY2025</c:v>
                </c:pt>
                <c:pt idx="5">
                  <c:v>FY2026</c:v>
                </c:pt>
              </c:strCache>
            </c:strRef>
          </c:cat>
          <c:val>
            <c:numRef>
              <c:f>dashboard!$B$5:$G$5</c:f>
              <c:numCache>
                <c:formatCode>_ [$₹-4009]\ * #,##0.00_ ;_ [$₹-4009]\ * \-#,##0.00_ ;_ [$₹-4009]\ * "-"??_ ;_ @_ </c:formatCode>
                <c:ptCount val="6"/>
                <c:pt idx="0" formatCode="[$₹-4009]\ #,##0.00">
                  <c:v>44397</c:v>
                </c:pt>
                <c:pt idx="1">
                  <c:v>52471</c:v>
                </c:pt>
                <c:pt idx="2">
                  <c:v>57686</c:v>
                </c:pt>
                <c:pt idx="3">
                  <c:v>62775</c:v>
                </c:pt>
                <c:pt idx="4">
                  <c:v>66127</c:v>
                </c:pt>
                <c:pt idx="5">
                  <c:v>68903.932197523551</c:v>
                </c:pt>
              </c:numCache>
            </c:numRef>
          </c:val>
          <c:smooth val="0"/>
          <c:extLst>
            <c:ext xmlns:c16="http://schemas.microsoft.com/office/drawing/2014/chart" uri="{C3380CC4-5D6E-409C-BE32-E72D297353CC}">
              <c16:uniqueId val="{00000000-6A25-4CF3-AE09-EDBC2BCF72D5}"/>
            </c:ext>
          </c:extLst>
        </c:ser>
        <c:ser>
          <c:idx val="1"/>
          <c:order val="1"/>
          <c:tx>
            <c:v>NET PROFIT</c:v>
          </c:tx>
          <c:spPr>
            <a:ln w="22225" cap="rnd">
              <a:solidFill>
                <a:schemeClr val="accent2"/>
              </a:solidFill>
            </a:ln>
            <a:effectLst>
              <a:glow rad="139700">
                <a:schemeClr val="accent2">
                  <a:satMod val="175000"/>
                  <a:alpha val="14000"/>
                </a:schemeClr>
              </a:glow>
            </a:effectLst>
          </c:spPr>
          <c:marker>
            <c:symbol val="none"/>
          </c:marker>
          <c:cat>
            <c:strRef>
              <c:f>dashboard!$B$2:$G$2</c:f>
              <c:strCache>
                <c:ptCount val="6"/>
                <c:pt idx="0">
                  <c:v>FY2021</c:v>
                </c:pt>
                <c:pt idx="1">
                  <c:v>FY2022</c:v>
                </c:pt>
                <c:pt idx="2">
                  <c:v>FY2023</c:v>
                </c:pt>
                <c:pt idx="3">
                  <c:v>FY2024</c:v>
                </c:pt>
                <c:pt idx="4">
                  <c:v>FY2025</c:v>
                </c:pt>
                <c:pt idx="5">
                  <c:v>FY2026</c:v>
                </c:pt>
              </c:strCache>
            </c:strRef>
          </c:cat>
          <c:val>
            <c:numRef>
              <c:f>dashboard!$B$6:$G$6</c:f>
              <c:numCache>
                <c:formatCode>_ [$₹-4009]\ * #,##0.00_ ;_ [$₹-4009]\ * \-#,##0.00_ ;_ [$₹-4009]\ * "-"??_ ;_ @_ </c:formatCode>
                <c:ptCount val="6"/>
                <c:pt idx="0" formatCode="[$₹-4009]\ #,##0.00">
                  <c:v>32562</c:v>
                </c:pt>
                <c:pt idx="1">
                  <c:v>38449</c:v>
                </c:pt>
                <c:pt idx="2">
                  <c:v>42303</c:v>
                </c:pt>
                <c:pt idx="3">
                  <c:v>46099</c:v>
                </c:pt>
                <c:pt idx="4">
                  <c:v>48797</c:v>
                </c:pt>
                <c:pt idx="5">
                  <c:v>50629.069399127031</c:v>
                </c:pt>
              </c:numCache>
            </c:numRef>
          </c:val>
          <c:smooth val="0"/>
          <c:extLst>
            <c:ext xmlns:c16="http://schemas.microsoft.com/office/drawing/2014/chart" uri="{C3380CC4-5D6E-409C-BE32-E72D297353CC}">
              <c16:uniqueId val="{00000001-6A25-4CF3-AE09-EDBC2BCF72D5}"/>
            </c:ext>
          </c:extLst>
        </c:ser>
        <c:dLbls>
          <c:showLegendKey val="0"/>
          <c:showVal val="0"/>
          <c:showCatName val="0"/>
          <c:showSerName val="0"/>
          <c:showPercent val="0"/>
          <c:showBubbleSize val="0"/>
        </c:dLbls>
        <c:dropLines>
          <c:spPr>
            <a:ln w="9525">
              <a:solidFill>
                <a:schemeClr val="lt1">
                  <a:lumMod val="50000"/>
                </a:schemeClr>
              </a:solidFill>
              <a:round/>
            </a:ln>
            <a:effectLst/>
          </c:spPr>
        </c:dropLines>
        <c:smooth val="0"/>
        <c:axId val="79345680"/>
        <c:axId val="138335440"/>
      </c:lineChart>
      <c:catAx>
        <c:axId val="79345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inorGridlines>
          <c: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a:effectLst/>
          </c:spPr>
        </c:min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800" b="1" i="0" u="none" strike="noStrike" kern="1200" cap="all" baseline="0">
                    <a:solidFill>
                      <a:sysClr val="window" lastClr="FFFFFF">
                        <a:lumMod val="85000"/>
                      </a:sysClr>
                    </a:solidFill>
                  </a:rPr>
                  <a:t>FY2021–FY2025: Actual | FY2026: Forecast</a:t>
                </a:r>
              </a:p>
            </c:rich>
          </c:tx>
          <c:layout>
            <c:manualLayout>
              <c:xMode val="edge"/>
              <c:yMode val="edge"/>
              <c:x val="0.57130886153023497"/>
              <c:y val="0.908459354918010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335440"/>
        <c:crosses val="autoZero"/>
        <c:auto val="1"/>
        <c:lblAlgn val="ctr"/>
        <c:lblOffset val="100"/>
        <c:noMultiLvlLbl val="0"/>
      </c:catAx>
      <c:valAx>
        <c:axId val="138335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34568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u="sng"/>
              <a:t>OCF &amp; FCF</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v>OFC</c:v>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dashboard!$B$2:$G$2</c:f>
              <c:strCache>
                <c:ptCount val="6"/>
                <c:pt idx="0">
                  <c:v>FY2021</c:v>
                </c:pt>
                <c:pt idx="1">
                  <c:v>FY2022</c:v>
                </c:pt>
                <c:pt idx="2">
                  <c:v>FY2023</c:v>
                </c:pt>
                <c:pt idx="3">
                  <c:v>FY2024</c:v>
                </c:pt>
                <c:pt idx="4">
                  <c:v>FY2025</c:v>
                </c:pt>
                <c:pt idx="5">
                  <c:v>FY2026</c:v>
                </c:pt>
              </c:strCache>
            </c:strRef>
          </c:cat>
          <c:val>
            <c:numRef>
              <c:f>dashboard!$B$7:$G$7</c:f>
              <c:numCache>
                <c:formatCode>_ [$₹-4009]\ * #,##0.00_ ;_ [$₹-4009]\ * \-#,##0.00_ ;_ [$₹-4009]\ * "-"??_ ;_ @_ </c:formatCode>
                <c:ptCount val="6"/>
                <c:pt idx="0" formatCode="[$₹-4009]\ #,##0.00">
                  <c:v>38802</c:v>
                </c:pt>
                <c:pt idx="1">
                  <c:v>39949</c:v>
                </c:pt>
                <c:pt idx="2">
                  <c:v>41965</c:v>
                </c:pt>
                <c:pt idx="3">
                  <c:v>44338</c:v>
                </c:pt>
                <c:pt idx="4">
                  <c:v>48908</c:v>
                </c:pt>
                <c:pt idx="5">
                  <c:v>57553.574272178164</c:v>
                </c:pt>
              </c:numCache>
            </c:numRef>
          </c:val>
          <c:smooth val="0"/>
          <c:extLst>
            <c:ext xmlns:c16="http://schemas.microsoft.com/office/drawing/2014/chart" uri="{C3380CC4-5D6E-409C-BE32-E72D297353CC}">
              <c16:uniqueId val="{00000000-961F-4960-87FD-88D0DCF44295}"/>
            </c:ext>
          </c:extLst>
        </c:ser>
        <c:ser>
          <c:idx val="1"/>
          <c:order val="1"/>
          <c:tx>
            <c:v>FCF</c:v>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dashboard!$B$2:$G$2</c:f>
              <c:strCache>
                <c:ptCount val="6"/>
                <c:pt idx="0">
                  <c:v>FY2021</c:v>
                </c:pt>
                <c:pt idx="1">
                  <c:v>FY2022</c:v>
                </c:pt>
                <c:pt idx="2">
                  <c:v>FY2023</c:v>
                </c:pt>
                <c:pt idx="3">
                  <c:v>FY2024</c:v>
                </c:pt>
                <c:pt idx="4">
                  <c:v>FY2025</c:v>
                </c:pt>
                <c:pt idx="5">
                  <c:v>FY2026</c:v>
                </c:pt>
              </c:strCache>
            </c:strRef>
          </c:cat>
          <c:val>
            <c:numRef>
              <c:f>dashboard!$B$9:$G$9</c:f>
              <c:numCache>
                <c:formatCode>_ [$₹-4009]\ * #,##0.00_ ;_ [$₹-4009]\ * \-#,##0.00_ ;_ [$₹-4009]\ * "-"??_ ;_ @_ </c:formatCode>
                <c:ptCount val="6"/>
                <c:pt idx="0" formatCode="[$₹-4009]\ #,##0.00">
                  <c:v>35727</c:v>
                </c:pt>
                <c:pt idx="1">
                  <c:v>36969</c:v>
                </c:pt>
                <c:pt idx="2">
                  <c:v>39078</c:v>
                </c:pt>
                <c:pt idx="3">
                  <c:v>41694</c:v>
                </c:pt>
                <c:pt idx="4">
                  <c:v>45047</c:v>
                </c:pt>
                <c:pt idx="5">
                  <c:v>54007.983300747277</c:v>
                </c:pt>
              </c:numCache>
            </c:numRef>
          </c:val>
          <c:smooth val="0"/>
          <c:extLst>
            <c:ext xmlns:c16="http://schemas.microsoft.com/office/drawing/2014/chart" uri="{C3380CC4-5D6E-409C-BE32-E72D297353CC}">
              <c16:uniqueId val="{00000001-961F-4960-87FD-88D0DCF44295}"/>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smooth val="0"/>
        <c:axId val="70567408"/>
        <c:axId val="138336400"/>
      </c:lineChart>
      <c:catAx>
        <c:axId val="70567408"/>
        <c:scaling>
          <c:orientation val="minMax"/>
        </c:scaling>
        <c:delete val="0"/>
        <c:axPos val="b"/>
        <c:minorGridlines>
          <c:spPr>
            <a:ln>
              <a:solidFill>
                <a:schemeClr val="lt1">
                  <a:lumMod val="95000"/>
                  <a:alpha val="5000"/>
                </a:schemeClr>
              </a:solidFill>
            </a:ln>
            <a:effectLst/>
          </c:spPr>
        </c:min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800" b="1" i="0" u="none" strike="noStrike" kern="1200" cap="all" baseline="0">
                    <a:solidFill>
                      <a:sysClr val="window" lastClr="FFFFFF">
                        <a:lumMod val="85000"/>
                      </a:sysClr>
                    </a:solidFill>
                  </a:rPr>
                  <a:t>FY2021–FY2025: Actual | FY2026: Forecast</a:t>
                </a:r>
              </a:p>
            </c:rich>
          </c:tx>
          <c:layout>
            <c:manualLayout>
              <c:xMode val="edge"/>
              <c:yMode val="edge"/>
              <c:x val="0.50853870958933467"/>
              <c:y val="0.9169317898567506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36400"/>
        <c:crosses val="autoZero"/>
        <c:auto val="1"/>
        <c:lblAlgn val="ctr"/>
        <c:lblOffset val="100"/>
        <c:noMultiLvlLbl val="0"/>
      </c:catAx>
      <c:valAx>
        <c:axId val="138336400"/>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5674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t>OWC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OWC</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movingAvg"/>
            <c:period val="2"/>
            <c:dispRSqr val="0"/>
            <c:dispEq val="0"/>
          </c:trendline>
          <c:cat>
            <c:strRef>
              <c:f>dashboard!$B$2:$G$2</c:f>
              <c:strCache>
                <c:ptCount val="6"/>
                <c:pt idx="0">
                  <c:v>FY2021</c:v>
                </c:pt>
                <c:pt idx="1">
                  <c:v>FY2022</c:v>
                </c:pt>
                <c:pt idx="2">
                  <c:v>FY2023</c:v>
                </c:pt>
                <c:pt idx="3">
                  <c:v>FY2024</c:v>
                </c:pt>
                <c:pt idx="4">
                  <c:v>FY2025</c:v>
                </c:pt>
                <c:pt idx="5">
                  <c:v>FY2026</c:v>
                </c:pt>
              </c:strCache>
            </c:strRef>
          </c:cat>
          <c:val>
            <c:numRef>
              <c:f>dashboard!$B$8:$G$8</c:f>
              <c:numCache>
                <c:formatCode>[$₹-4009]\ #,##0.00</c:formatCode>
                <c:ptCount val="6"/>
                <c:pt idx="0">
                  <c:v>25152</c:v>
                </c:pt>
                <c:pt idx="1">
                  <c:v>30130</c:v>
                </c:pt>
                <c:pt idx="2">
                  <c:v>35596</c:v>
                </c:pt>
                <c:pt idx="3">
                  <c:v>39956</c:v>
                </c:pt>
                <c:pt idx="4">
                  <c:v>41109</c:v>
                </c:pt>
                <c:pt idx="5" formatCode="_ [$₹-4009]\ * #,##0.00_ ;_ [$₹-4009]\ * \-#,##0.00_ ;_ [$₹-4009]\ * &quot;-&quot;??_ ;_ @_ ">
                  <c:v>39763.031526948864</c:v>
                </c:pt>
              </c:numCache>
            </c:numRef>
          </c:val>
          <c:extLst>
            <c:ext xmlns:c16="http://schemas.microsoft.com/office/drawing/2014/chart" uri="{C3380CC4-5D6E-409C-BE32-E72D297353CC}">
              <c16:uniqueId val="{00000000-BFBD-40FE-907F-1E06E0BF7994}"/>
            </c:ext>
          </c:extLst>
        </c:ser>
        <c:dLbls>
          <c:dLblPos val="outEnd"/>
          <c:showLegendKey val="0"/>
          <c:showVal val="1"/>
          <c:showCatName val="0"/>
          <c:showSerName val="0"/>
          <c:showPercent val="0"/>
          <c:showBubbleSize val="0"/>
        </c:dLbls>
        <c:gapWidth val="100"/>
        <c:overlap val="-24"/>
        <c:axId val="70560448"/>
        <c:axId val="1912965583"/>
      </c:barChart>
      <c:catAx>
        <c:axId val="705604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800" b="1" i="0" u="none" strike="noStrike" kern="1200" cap="all" baseline="0">
                    <a:solidFill>
                      <a:sysClr val="window" lastClr="FFFFFF">
                        <a:lumMod val="85000"/>
                      </a:sysClr>
                    </a:solidFill>
                  </a:rPr>
                  <a:t>FY2021–FY2025: Actual | FY2026: Forecast</a:t>
                </a:r>
              </a:p>
            </c:rich>
          </c:tx>
          <c:layout>
            <c:manualLayout>
              <c:xMode val="edge"/>
              <c:yMode val="edge"/>
              <c:x val="0.52707502187226596"/>
              <c:y val="0.9038655584718576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965583"/>
        <c:crosses val="autoZero"/>
        <c:auto val="1"/>
        <c:lblAlgn val="ctr"/>
        <c:lblOffset val="100"/>
        <c:noMultiLvlLbl val="0"/>
      </c:catAx>
      <c:valAx>
        <c:axId val="1912965583"/>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560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18552</xdr:rowOff>
    </xdr:from>
    <xdr:to>
      <xdr:col>4</xdr:col>
      <xdr:colOff>304800</xdr:colOff>
      <xdr:row>23</xdr:row>
      <xdr:rowOff>109992</xdr:rowOff>
    </xdr:to>
    <xdr:graphicFrame macro="">
      <xdr:nvGraphicFramePr>
        <xdr:cNvPr id="4" name="Chart 3">
          <a:extLst>
            <a:ext uri="{FF2B5EF4-FFF2-40B4-BE49-F238E27FC236}">
              <a16:creationId xmlns:a16="http://schemas.microsoft.com/office/drawing/2014/main" id="{5AECA6C2-171B-3C55-DA4E-DDC1E8798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347538</xdr:colOff>
      <xdr:row>10</xdr:row>
      <xdr:rowOff>15239</xdr:rowOff>
    </xdr:from>
    <xdr:to>
      <xdr:col>10</xdr:col>
      <xdr:colOff>598998</xdr:colOff>
      <xdr:row>23</xdr:row>
      <xdr:rowOff>106679</xdr:rowOff>
    </xdr:to>
    <xdr:graphicFrame macro="">
      <xdr:nvGraphicFramePr>
        <xdr:cNvPr id="5" name="Chart 4">
          <a:extLst>
            <a:ext uri="{FF2B5EF4-FFF2-40B4-BE49-F238E27FC236}">
              <a16:creationId xmlns:a16="http://schemas.microsoft.com/office/drawing/2014/main" id="{67ADE935-CA14-AC72-A99D-F6291131A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167972</xdr:rowOff>
    </xdr:from>
    <xdr:to>
      <xdr:col>4</xdr:col>
      <xdr:colOff>304800</xdr:colOff>
      <xdr:row>37</xdr:row>
      <xdr:rowOff>76532</xdr:rowOff>
    </xdr:to>
    <xdr:graphicFrame macro="">
      <xdr:nvGraphicFramePr>
        <xdr:cNvPr id="9" name="Chart 8">
          <a:extLst>
            <a:ext uri="{FF2B5EF4-FFF2-40B4-BE49-F238E27FC236}">
              <a16:creationId xmlns:a16="http://schemas.microsoft.com/office/drawing/2014/main" id="{CA57FDF4-E64C-1466-A32B-34783C829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348532</xdr:colOff>
      <xdr:row>23</xdr:row>
      <xdr:rowOff>172278</xdr:rowOff>
    </xdr:from>
    <xdr:to>
      <xdr:col>10</xdr:col>
      <xdr:colOff>599992</xdr:colOff>
      <xdr:row>37</xdr:row>
      <xdr:rowOff>80838</xdr:rowOff>
    </xdr:to>
    <xdr:graphicFrame macro="">
      <xdr:nvGraphicFramePr>
        <xdr:cNvPr id="10" name="Chart 9">
          <a:extLst>
            <a:ext uri="{FF2B5EF4-FFF2-40B4-BE49-F238E27FC236}">
              <a16:creationId xmlns:a16="http://schemas.microsoft.com/office/drawing/2014/main" id="{1BAF49E8-FD6A-CB8C-BF37-26733BC9C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76200</xdr:colOff>
      <xdr:row>10</xdr:row>
      <xdr:rowOff>21771</xdr:rowOff>
    </xdr:from>
    <xdr:to>
      <xdr:col>18</xdr:col>
      <xdr:colOff>381000</xdr:colOff>
      <xdr:row>23</xdr:row>
      <xdr:rowOff>113211</xdr:rowOff>
    </xdr:to>
    <xdr:graphicFrame macro="">
      <xdr:nvGraphicFramePr>
        <xdr:cNvPr id="11" name="Chart 10">
          <a:extLst>
            <a:ext uri="{FF2B5EF4-FFF2-40B4-BE49-F238E27FC236}">
              <a16:creationId xmlns:a16="http://schemas.microsoft.com/office/drawing/2014/main" id="{FE5AB1A7-EDC1-0B2E-EF85-C3D583761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9B2F987-D36E-4AF3-A963-25DA3A117155}" name="Table31" displayName="Table31" ref="A2:G9" totalsRowShown="0" headerRowDxfId="150">
  <autoFilter ref="A2:G9" xr:uid="{09B2F987-D36E-4AF3-A963-25DA3A11715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E3F7098-4F83-47FD-9A4B-3ECA779F72F4}" name="Metric"/>
    <tableColumn id="2" xr3:uid="{C4FEB70C-9ADA-4019-BABB-F6F0D17D9ECF}" name="FY2021" dataDxfId="149"/>
    <tableColumn id="3" xr3:uid="{15F30C2E-64FB-4614-9211-BDA74DF0D1DE}" name="FY2022" dataDxfId="148"/>
    <tableColumn id="4" xr3:uid="{E568E669-E006-40B7-9961-237153162AA4}" name="FY2023" dataDxfId="147"/>
    <tableColumn id="5" xr3:uid="{0A44686A-DCD2-4574-9E0C-45C2D2578A1D}" name="FY2024" dataDxfId="146"/>
    <tableColumn id="6" xr3:uid="{72393599-B6BA-4E92-8803-B165F87C98AD}" name="FY2025" dataDxfId="145"/>
    <tableColumn id="7" xr3:uid="{EB0E4289-601A-45A1-9E2E-C0B79233EB85}" name="FY2026" dataDxfId="144"/>
  </tableColumns>
  <tableStyleInfo name="TableStyleDark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94D067-BDA1-43FA-AB03-82380B63509E}" name="Table5" displayName="Table5" ref="A3:F8" totalsRowShown="0" headerRowDxfId="143" headerRowBorderDxfId="142" tableBorderDxfId="141" totalsRowBorderDxfId="140">
  <autoFilter ref="A3:F8" xr:uid="{7D94D067-BDA1-43FA-AB03-82380B63509E}">
    <filterColumn colId="0" hiddenButton="1"/>
    <filterColumn colId="1" hiddenButton="1"/>
    <filterColumn colId="2" hiddenButton="1"/>
    <filterColumn colId="3" hiddenButton="1"/>
    <filterColumn colId="4" hiddenButton="1"/>
    <filterColumn colId="5" hiddenButton="1"/>
  </autoFilter>
  <tableColumns count="6">
    <tableColumn id="1" xr3:uid="{98BD72AD-267D-43F6-B083-00C2B433E8C9}" name="Particulars" dataDxfId="139"/>
    <tableColumn id="2" xr3:uid="{21D7B6D6-8AED-4B1A-857A-C49EC2D33F0A}" name="FY2021" dataDxfId="138"/>
    <tableColumn id="3" xr3:uid="{CE435226-E611-4537-90C5-221796FF5DE3}" name="FY2022" dataDxfId="137"/>
    <tableColumn id="4" xr3:uid="{F33ED2ED-DBCF-4F5F-ADC7-8E9BD3D13BD4}" name="FY2023" dataDxfId="136"/>
    <tableColumn id="5" xr3:uid="{3277E480-C116-40DF-93CD-DC7CF2F03CB5}" name="FY2024" dataDxfId="135"/>
    <tableColumn id="6" xr3:uid="{B2BAD7AB-1F1C-4F7F-86AE-D5A208C48906}" name="FY2025" dataDxfId="1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1C2126-5B93-44C5-B078-9A2EF6636C92}" name="Table6" displayName="Table6" ref="A11:F24" totalsRowShown="0" headerRowDxfId="133" headerRowBorderDxfId="132" tableBorderDxfId="131" totalsRowBorderDxfId="130">
  <autoFilter ref="A11:F24" xr:uid="{951C2126-5B93-44C5-B078-9A2EF6636C92}">
    <filterColumn colId="0" hiddenButton="1"/>
    <filterColumn colId="1" hiddenButton="1"/>
    <filterColumn colId="2" hiddenButton="1"/>
    <filterColumn colId="3" hiddenButton="1"/>
    <filterColumn colId="4" hiddenButton="1"/>
    <filterColumn colId="5" hiddenButton="1"/>
  </autoFilter>
  <tableColumns count="6">
    <tableColumn id="1" xr3:uid="{8831B94C-9798-483C-941F-19EF875FB1A8}" name="Particulars"/>
    <tableColumn id="2" xr3:uid="{47D598B4-6B51-49A2-B55D-810A7683BD9A}" name="FY2021"/>
    <tableColumn id="3" xr3:uid="{4D70F3E5-582F-42E3-AB08-61F778887CE1}" name="FY2022"/>
    <tableColumn id="4" xr3:uid="{7253C23C-B793-467B-935A-D9A6184A264A}" name="FY2023"/>
    <tableColumn id="5" xr3:uid="{AE92164C-6E66-48F3-BE34-D1048FEE13E7}" name="FY2024"/>
    <tableColumn id="6" xr3:uid="{9FF193D0-FE34-45C1-BB21-74845B0ED409}" name="FY20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31A109-2F35-4AFE-8992-044A03B809C0}" name="Table7" displayName="Table7" ref="A27:F36" totalsRowShown="0" headerRowDxfId="129" headerRowBorderDxfId="128" tableBorderDxfId="127" totalsRowBorderDxfId="126">
  <autoFilter ref="A27:F36" xr:uid="{1631A109-2F35-4AFE-8992-044A03B809C0}">
    <filterColumn colId="0" hiddenButton="1"/>
    <filterColumn colId="1" hiddenButton="1"/>
    <filterColumn colId="2" hiddenButton="1"/>
    <filterColumn colId="3" hiddenButton="1"/>
    <filterColumn colId="4" hiddenButton="1"/>
    <filterColumn colId="5" hiddenButton="1"/>
  </autoFilter>
  <tableColumns count="6">
    <tableColumn id="1" xr3:uid="{F1CDFACB-EEBD-42EA-A4AF-25A51F7D2DE4}" name="Particulars" dataDxfId="125"/>
    <tableColumn id="2" xr3:uid="{426E6A95-8D39-44BE-80B6-B63DFCDF79F7}" name="FY2021"/>
    <tableColumn id="3" xr3:uid="{8A990C00-4339-449D-B8BE-F6CD8D6DEDFA}" name="FY2022"/>
    <tableColumn id="4" xr3:uid="{804F655A-258B-48D6-9FF5-6CB0808DAC80}" name="FY2023"/>
    <tableColumn id="5" xr3:uid="{63E916D3-F6FF-4147-B721-353B17C2611C}" name="FY2024"/>
    <tableColumn id="6" xr3:uid="{7540EFD2-53FD-4FBB-9641-1159F7CFDCCC}" name="FY202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D47FD7-2537-4F18-A6F0-7C959D1B3726}" name="Table10" displayName="Table10" ref="A39:F44" totalsRowShown="0" headerRowDxfId="124" headerRowBorderDxfId="123" tableBorderDxfId="122" totalsRowBorderDxfId="121">
  <autoFilter ref="A39:F44" xr:uid="{10D47FD7-2537-4F18-A6F0-7C959D1B3726}">
    <filterColumn colId="0" hiddenButton="1"/>
    <filterColumn colId="1" hiddenButton="1"/>
    <filterColumn colId="2" hiddenButton="1"/>
    <filterColumn colId="3" hiddenButton="1"/>
    <filterColumn colId="4" hiddenButton="1"/>
    <filterColumn colId="5" hiddenButton="1"/>
  </autoFilter>
  <tableColumns count="6">
    <tableColumn id="1" xr3:uid="{2D5A490F-881E-45DA-B813-E039282124C0}" name="Particulars" dataDxfId="120"/>
    <tableColumn id="2" xr3:uid="{87F29743-66F6-4618-A195-7EE90C2C3021}" name="FY2021" dataDxfId="119"/>
    <tableColumn id="3" xr3:uid="{463FB28A-0F59-42D3-BCD4-1634F8E21988}" name="FY2022" dataDxfId="118"/>
    <tableColumn id="4" xr3:uid="{FEDB0849-8FD3-4A32-BD7B-CBE7B765F9D8}" name="FY2023" dataDxfId="117"/>
    <tableColumn id="5" xr3:uid="{AFD70972-206E-4233-A2F5-5A0CA133DA1E}" name="FY2024" dataDxfId="116"/>
    <tableColumn id="6" xr3:uid="{55C393A9-DD98-4F6C-9B46-B8F10FFF9BE9}" name="FY2025" dataDxfId="1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D3119C-6B84-48CD-AD62-FC98CACEB618}" name="Table11" displayName="Table11" ref="A47:F56" totalsRowShown="0" headerRowDxfId="114" headerRowBorderDxfId="113" tableBorderDxfId="112" totalsRowBorderDxfId="111">
  <autoFilter ref="A47:F56" xr:uid="{6CD3119C-6B84-48CD-AD62-FC98CACEB618}">
    <filterColumn colId="0" hiddenButton="1"/>
    <filterColumn colId="1" hiddenButton="1"/>
    <filterColumn colId="2" hiddenButton="1"/>
    <filterColumn colId="3" hiddenButton="1"/>
    <filterColumn colId="4" hiddenButton="1"/>
    <filterColumn colId="5" hiddenButton="1"/>
  </autoFilter>
  <tableColumns count="6">
    <tableColumn id="1" xr3:uid="{666998F2-CF6F-421A-A1DA-ECCA32F11C76}" name="Particulars" dataDxfId="110"/>
    <tableColumn id="2" xr3:uid="{B3EFF44D-FC8C-44E1-A5EE-C083B9425CD6}" name="FY2021"/>
    <tableColumn id="3" xr3:uid="{9A3ED565-D0D0-437F-AE43-5FB9C8D047A4}" name="FY2022"/>
    <tableColumn id="4" xr3:uid="{776293CA-AAD5-491B-9A58-4EDF5899A805}" name="FY2023"/>
    <tableColumn id="5" xr3:uid="{7C990075-DB0C-4AEA-9B2C-ADA43B56A6A0}" name="FY2024"/>
    <tableColumn id="6" xr3:uid="{8DEBED69-C910-4FE2-AF6C-3D4AB88DC43F}" name="FY20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39E2E5-F4B6-4737-8CEC-BA7E21BEEEB4}" name="Table13" displayName="Table13" ref="A59:F64" totalsRowShown="0" headerRowDxfId="109" headerRowBorderDxfId="108" tableBorderDxfId="107" totalsRowBorderDxfId="106">
  <autoFilter ref="A59:F64" xr:uid="{D739E2E5-F4B6-4737-8CEC-BA7E21BEEEB4}">
    <filterColumn colId="0" hiddenButton="1"/>
    <filterColumn colId="1" hiddenButton="1"/>
    <filterColumn colId="2" hiddenButton="1"/>
    <filterColumn colId="3" hiddenButton="1"/>
    <filterColumn colId="4" hiddenButton="1"/>
    <filterColumn colId="5" hiddenButton="1"/>
  </autoFilter>
  <tableColumns count="6">
    <tableColumn id="1" xr3:uid="{3776CC0A-669E-44E4-BD70-503C6D214CEB}" name="Particulars" dataDxfId="105"/>
    <tableColumn id="2" xr3:uid="{06D70DC4-B7FF-4D56-9B98-F8EB6C6F7ACD}" name="FY2021" dataDxfId="104"/>
    <tableColumn id="3" xr3:uid="{B5DC5740-95F7-4443-BB84-723150FB3D03}" name="FY2022" dataDxfId="103"/>
    <tableColumn id="4" xr3:uid="{E7094660-32A8-4B9B-9C5E-A3255B59C61C}" name="FY2023" dataDxfId="102"/>
    <tableColumn id="5" xr3:uid="{409B2203-FA49-4760-8234-843749122109}" name="FY2024" dataDxfId="101"/>
    <tableColumn id="6" xr3:uid="{7550BCA5-F0BF-46E3-BB7E-71AA7E8A0B53}" name="FY2025" dataDxfId="10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DAD6696-DDA1-4DD6-BD1E-AA99E2916B05}" name="Table14" displayName="Table14" ref="A68:F73" totalsRowShown="0" headerRowDxfId="99" dataDxfId="97" headerRowBorderDxfId="98" tableBorderDxfId="96" totalsRowBorderDxfId="95" dataCellStyle="Percent">
  <autoFilter ref="A68:F73" xr:uid="{3DAD6696-DDA1-4DD6-BD1E-AA99E2916B05}">
    <filterColumn colId="0" hiddenButton="1"/>
    <filterColumn colId="1" hiddenButton="1"/>
    <filterColumn colId="2" hiddenButton="1"/>
    <filterColumn colId="3" hiddenButton="1"/>
    <filterColumn colId="4" hiddenButton="1"/>
    <filterColumn colId="5" hiddenButton="1"/>
  </autoFilter>
  <tableColumns count="6">
    <tableColumn id="1" xr3:uid="{396717A3-FB6E-42F1-9061-4AD50DC06C8B}" name="Particulars" dataDxfId="94"/>
    <tableColumn id="2" xr3:uid="{79936539-DBC6-4CE8-BF5B-2E0D5193A1EC}" name="FY2021" dataDxfId="93" dataCellStyle="Percent"/>
    <tableColumn id="3" xr3:uid="{BF2F86F6-DE13-49F0-8CB3-2E1855CED9D8}" name="FY2022" dataDxfId="92" dataCellStyle="Percent"/>
    <tableColumn id="4" xr3:uid="{E6BAA72A-FFD7-4BC9-933F-638F2633B038}" name="FY2023" dataDxfId="91" dataCellStyle="Percent"/>
    <tableColumn id="5" xr3:uid="{A9986187-05F6-4D94-8942-68F9ECFD1C75}" name="FY2024" dataDxfId="90" dataCellStyle="Percent"/>
    <tableColumn id="6" xr3:uid="{813318FD-D63F-4992-97A2-E4605B8073E7}" name="FY2025" dataDxfId="89" dataCellStyl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55304BB-A8F5-47A5-B189-F0CD7365355C}" name="Table15" displayName="Table15" ref="A76:F79" totalsRowShown="0" headerRowDxfId="88" headerRowBorderDxfId="87" tableBorderDxfId="86" totalsRowBorderDxfId="85">
  <autoFilter ref="A76:F79" xr:uid="{D55304BB-A8F5-47A5-B189-F0CD7365355C}">
    <filterColumn colId="0" hiddenButton="1"/>
    <filterColumn colId="1" hiddenButton="1"/>
    <filterColumn colId="2" hiddenButton="1"/>
    <filterColumn colId="3" hiddenButton="1"/>
    <filterColumn colId="4" hiddenButton="1"/>
    <filterColumn colId="5" hiddenButton="1"/>
  </autoFilter>
  <tableColumns count="6">
    <tableColumn id="1" xr3:uid="{04D8DB16-633C-4DD5-915D-9FF2238EE9B3}" name="Particulars"/>
    <tableColumn id="2" xr3:uid="{B6A7EC99-17B0-4288-8F00-9EAC52FADC27}" name="FY2021"/>
    <tableColumn id="3" xr3:uid="{8E0AD8F7-9D68-481D-920B-47DCE7949E3E}" name="FY2022"/>
    <tableColumn id="4" xr3:uid="{5F43F035-E788-4826-B1C9-CA8FD5A7FC50}" name="FY2023"/>
    <tableColumn id="5" xr3:uid="{6EC1BC71-A5E0-4857-978F-A1D00E9C5A36}" name="FY2024"/>
    <tableColumn id="6" xr3:uid="{C0209D66-719D-4669-8031-39374D12ACB3}" name="FY20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ABD661-A69C-48B0-949F-BF55D43BF35D}" name="Table16" displayName="Table16" ref="A82:F84" totalsRowShown="0" headerRowDxfId="84" headerRowBorderDxfId="83" tableBorderDxfId="82" totalsRowBorderDxfId="81">
  <autoFilter ref="A82:F84" xr:uid="{80ABD661-A69C-48B0-949F-BF55D43BF35D}">
    <filterColumn colId="0" hiddenButton="1"/>
    <filterColumn colId="1" hiddenButton="1"/>
    <filterColumn colId="2" hiddenButton="1"/>
    <filterColumn colId="3" hiddenButton="1"/>
    <filterColumn colId="4" hiddenButton="1"/>
    <filterColumn colId="5" hiddenButton="1"/>
  </autoFilter>
  <tableColumns count="6">
    <tableColumn id="1" xr3:uid="{D001B4CE-3C72-4C34-AE06-2A6FEA078AC5}" name="Particulars" dataDxfId="80"/>
    <tableColumn id="2" xr3:uid="{A252CF54-A7BE-4B30-9BC2-EC0D88A0E3B1}" name="FY2021" dataDxfId="79">
      <calculatedColumnFormula>B43/B39</calculatedColumnFormula>
    </tableColumn>
    <tableColumn id="3" xr3:uid="{E71D041E-99C0-4BDB-81AC-315E57E0B832}" name="FY2022" dataDxfId="78">
      <calculatedColumnFormula>C43/C39</calculatedColumnFormula>
    </tableColumn>
    <tableColumn id="4" xr3:uid="{0418F7E7-3FC8-4D3A-8BA0-AA518F16973D}" name="FY2023" dataDxfId="77">
      <calculatedColumnFormula>D43/D39</calculatedColumnFormula>
    </tableColumn>
    <tableColumn id="5" xr3:uid="{D8DC56E7-60C0-41D1-9159-EF3F237B544F}" name="FY2024" dataDxfId="76">
      <calculatedColumnFormula>E43/E39</calculatedColumnFormula>
    </tableColumn>
    <tableColumn id="6" xr3:uid="{71E18BF1-0F1F-41DB-8BA9-3FEC80EFA18A}" name="FY2025" dataDxfId="75">
      <calculatedColumnFormula>F43/F39</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D941974-F970-40CD-B431-9D5269C970A1}" name="Table17" displayName="Table17" ref="A87:F88" totalsRowShown="0" headerRowDxfId="74" headerRowBorderDxfId="73" tableBorderDxfId="72" totalsRowBorderDxfId="71">
  <autoFilter ref="A87:F88" xr:uid="{6D941974-F970-40CD-B431-9D5269C970A1}">
    <filterColumn colId="0" hiddenButton="1"/>
    <filterColumn colId="1" hiddenButton="1"/>
    <filterColumn colId="2" hiddenButton="1"/>
    <filterColumn colId="3" hiddenButton="1"/>
    <filterColumn colId="4" hiddenButton="1"/>
    <filterColumn colId="5" hiddenButton="1"/>
  </autoFilter>
  <tableColumns count="6">
    <tableColumn id="1" xr3:uid="{B109EA35-B33E-47ED-AD70-4FA1281A6FD3}" name="Particulars" dataDxfId="70"/>
    <tableColumn id="2" xr3:uid="{E677645B-1E81-46F8-802A-1AD5222C093D}" name="FY2021" dataDxfId="69">
      <calculatedColumnFormula>B30/B16</calculatedColumnFormula>
    </tableColumn>
    <tableColumn id="3" xr3:uid="{08A1FE86-C0C8-43D6-A11A-E3EA51E7AF45}" name="FY2022" dataDxfId="68">
      <calculatedColumnFormula>C30/C16</calculatedColumnFormula>
    </tableColumn>
    <tableColumn id="4" xr3:uid="{83737C10-1A5A-4994-B28F-3EDBBF1AA73A}" name="FY2023" dataDxfId="67">
      <calculatedColumnFormula>D30/D16</calculatedColumnFormula>
    </tableColumn>
    <tableColumn id="5" xr3:uid="{9551394A-52D7-4693-9185-89959573907C}" name="FY2024" dataDxfId="66">
      <calculatedColumnFormula>E30/E16</calculatedColumnFormula>
    </tableColumn>
    <tableColumn id="6" xr3:uid="{37DE0335-B66C-41B6-A0A0-7015B4665C4D}" name="FY2025" dataDxfId="65">
      <calculatedColumnFormula>F30/F16</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4B69022-ECC0-4ABE-8887-6C8CD3B853B7}" name="Table18" displayName="Table18" ref="A91:F94" totalsRowShown="0" headerRowDxfId="64" headerRowBorderDxfId="63" tableBorderDxfId="62" totalsRowBorderDxfId="61">
  <autoFilter ref="A91:F94" xr:uid="{34B69022-ECC0-4ABE-8887-6C8CD3B853B7}">
    <filterColumn colId="0" hiddenButton="1"/>
    <filterColumn colId="1" hiddenButton="1"/>
    <filterColumn colId="2" hiddenButton="1"/>
    <filterColumn colId="3" hiddenButton="1"/>
    <filterColumn colId="4" hiddenButton="1"/>
    <filterColumn colId="5" hiddenButton="1"/>
  </autoFilter>
  <tableColumns count="6">
    <tableColumn id="1" xr3:uid="{EBD9B687-919B-4540-9854-DC7852B54B1C}" name="Particulars" dataDxfId="60">
      <calculatedColumnFormula>A53</calculatedColumnFormula>
    </tableColumn>
    <tableColumn id="2" xr3:uid="{65DC93C1-C440-4E05-BAA0-5BD5A81D9C83}" name="FY2021">
      <calculatedColumnFormula>B53</calculatedColumnFormula>
    </tableColumn>
    <tableColumn id="3" xr3:uid="{D8F31568-BDDA-4DA0-8881-8D7A11702654}" name="FY2022">
      <calculatedColumnFormula>C53</calculatedColumnFormula>
    </tableColumn>
    <tableColumn id="4" xr3:uid="{7FA0F4C6-6644-4E63-BB08-878A690C22C1}" name="FY2023">
      <calculatedColumnFormula>D53</calculatedColumnFormula>
    </tableColumn>
    <tableColumn id="5" xr3:uid="{A7988184-D98A-4A44-8E86-23FFAD21A1D7}" name="FY2024">
      <calculatedColumnFormula>E53</calculatedColumnFormula>
    </tableColumn>
    <tableColumn id="6" xr3:uid="{086F646E-EA6F-4D8F-8B19-A955AE52BED5}" name="FY2025">
      <calculatedColumnFormula>F53</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694A31-EB32-4706-85BB-0FEA430B71A4}" name="Table19" displayName="Table19" ref="A97:F100" totalsRowShown="0" headerRowDxfId="59" headerRowBorderDxfId="58" tableBorderDxfId="57" totalsRowBorderDxfId="56">
  <autoFilter ref="A97:F100" xr:uid="{00694A31-EB32-4706-85BB-0FEA430B71A4}">
    <filterColumn colId="0" hiddenButton="1"/>
    <filterColumn colId="1" hiddenButton="1"/>
    <filterColumn colId="2" hiddenButton="1"/>
    <filterColumn colId="3" hiddenButton="1"/>
    <filterColumn colId="4" hiddenButton="1"/>
    <filterColumn colId="5" hiddenButton="1"/>
  </autoFilter>
  <tableColumns count="6">
    <tableColumn id="1" xr3:uid="{F34F769B-F729-446B-B29F-6150982A039D}" name="Particulars"/>
    <tableColumn id="2" xr3:uid="{96BF125A-C010-4E7A-8441-BBAE19378EAF}" name="FY2021"/>
    <tableColumn id="3" xr3:uid="{0BEC3EF2-D9BD-4C14-A761-A5B799B2076A}" name="FY2022"/>
    <tableColumn id="4" xr3:uid="{FB374EBD-EE81-4BF1-84FD-F3E3C11F091F}" name="FY2023"/>
    <tableColumn id="5" xr3:uid="{40C43987-374F-4BC7-9B24-ECFA5CB07BF9}" name="FY2024"/>
    <tableColumn id="6" xr3:uid="{15925DEA-F2B0-4472-B118-AD2AA35DA1E7}" name="FY202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8EDE16-AEA7-4C4A-AC4A-B1898AF1AD27}" name="Table4" displayName="Table4" ref="A2:C39" headerRowCount="0" headerRowDxfId="55" headerRowBorderDxfId="54" tableBorderDxfId="53" totalsRowBorderDxfId="52" headerRowCellStyle="Heading 1">
  <tableColumns count="3">
    <tableColumn id="1" xr3:uid="{B0B0E073-34EE-4473-B05D-9CFA9FC5B055}" name="ASSUMPTIONS &amp; METHODOLOGY" totalsRowLabel="Total" headerRowDxfId="51" dataDxfId="50" totalsRowDxfId="49"/>
    <tableColumn id="2" xr3:uid="{4730C547-EF0F-417F-8728-DFD0789E58A8}" name="Column1" headerRowDxfId="48" dataDxfId="47" totalsRowDxfId="46"/>
    <tableColumn id="3" xr3:uid="{2A723FA0-53E0-453A-B5B8-E497F1959AE7}" name="Column2" totalsRowFunction="count" headerRowDxfId="45" dataDxfId="44" totalsRowDxfId="43"/>
  </tableColumns>
  <tableStyleInfo name="TableStyleLight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F0C5FF3-5699-4875-BEDC-88ECE157CC44}" name="Table20" displayName="Table20" ref="A2:E13" totalsRowShown="0" headerRowDxfId="42">
  <autoFilter ref="A2:E13" xr:uid="{5F0C5FF3-5699-4875-BEDC-88ECE157CC44}">
    <filterColumn colId="0" hiddenButton="1"/>
    <filterColumn colId="1" hiddenButton="1"/>
    <filterColumn colId="2" hiddenButton="1"/>
    <filterColumn colId="3" hiddenButton="1"/>
    <filterColumn colId="4" hiddenButton="1"/>
  </autoFilter>
  <tableColumns count="5">
    <tableColumn id="1" xr3:uid="{8890D86F-8DFD-4C7B-9D7B-9B8904C629EB}" name="Assumption " dataDxfId="41"/>
    <tableColumn id="2" xr3:uid="{B4791103-66BE-4558-A3C4-A04018F552FE}" name="FY2025 Actual "/>
    <tableColumn id="3" xr3:uid="{09D5EE2E-22F7-41B7-ACD7-BAC3A266D137}" name="Historical Basis " dataDxfId="40"/>
    <tableColumn id="4" xr3:uid="{EB87173F-E2E2-4745-80E5-044C7851CF56}" name="FY2026 Forecast"/>
    <tableColumn id="5" xr3:uid="{DBD99D83-5FA3-443B-B2A1-F73299182840}" name=" Method / Driver" dataDxfId="39"/>
  </tableColumns>
  <tableStyleInfo name="TableStyleMedium9"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4FCFB23-7F6F-4510-BBBC-B26788FEBF8B}" name="Table33" displayName="Table33" ref="A3:C13" totalsRowShown="0" headerRowDxfId="38">
  <autoFilter ref="A3:C13" xr:uid="{74FCFB23-7F6F-4510-BBBC-B26788FEBF8B}">
    <filterColumn colId="0" hiddenButton="1"/>
    <filterColumn colId="1" hiddenButton="1"/>
    <filterColumn colId="2" hiddenButton="1"/>
  </autoFilter>
  <tableColumns count="3">
    <tableColumn id="1" xr3:uid="{042705AE-BB35-4A4A-82C4-F3F9AAE89E54}" name="Particulars" dataDxfId="37"/>
    <tableColumn id="2" xr3:uid="{B6C8ECFB-F266-451F-97B2-9F6991B043B1}" name="FY2025 Actual" dataDxfId="36">
      <calculatedColumnFormula>'FINANCIAL ANALYSIS'!F24</calculatedColumnFormula>
    </tableColumn>
    <tableColumn id="3" xr3:uid="{D08511E5-CAB0-437C-83D1-9C5691592DB0}" name="FY2026 Forecast" dataDxfId="35"/>
  </tableColumns>
  <tableStyleInfo name="TableStyleMedium2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440742D-E5B6-420D-9053-057D485A4EE8}" name="Table34" displayName="Table34" ref="A16:C21" totalsRowShown="0">
  <autoFilter ref="A16:C21" xr:uid="{0440742D-E5B6-420D-9053-057D485A4EE8}">
    <filterColumn colId="0" hiddenButton="1"/>
    <filterColumn colId="1" hiddenButton="1"/>
    <filterColumn colId="2" hiddenButton="1"/>
  </autoFilter>
  <tableColumns count="3">
    <tableColumn id="1" xr3:uid="{2AB82A71-9EA9-47B2-8D4B-E12ED1A561F5}" name="Particulars"/>
    <tableColumn id="2" xr3:uid="{E949F200-EB8D-4700-AB02-9750C5EA4387}" name="FY2025 Actual" dataDxfId="34"/>
    <tableColumn id="3" xr3:uid="{2D5A0D56-2D54-4638-B436-CFF0A50D6A45}" name="FY2026 Forecast" dataDxfId="33"/>
  </tableColumns>
  <tableStyleInfo name="TableStyleMedium2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75EF542-E1A8-4F8B-BE85-E86083E5BD64}" name="Table35" displayName="Table35" ref="A24:C28" totalsRowShown="0">
  <autoFilter ref="A24:C28" xr:uid="{775EF542-E1A8-4F8B-BE85-E86083E5BD64}">
    <filterColumn colId="0" hiddenButton="1"/>
    <filterColumn colId="1" hiddenButton="1"/>
    <filterColumn colId="2" hiddenButton="1"/>
  </autoFilter>
  <tableColumns count="3">
    <tableColumn id="1" xr3:uid="{F959BE12-8562-4EAE-A8CE-26FED224FA38}" name="Particulars"/>
    <tableColumn id="2" xr3:uid="{86172D24-D5F9-4927-BDD6-C11D8DADBC28}" name="FY2025 Actual" dataDxfId="32"/>
    <tableColumn id="3" xr3:uid="{F2EDAD79-14FA-44DD-8734-6DAB53ADD46B}" name="FY2026 Forecast" dataDxfId="31"/>
  </tableColumns>
  <tableStyleInfo name="TableStyleMedium2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E2C6E2F-BBE5-4223-B005-B3C882F94419}" name="Table22" displayName="Table22" ref="A3:F4" totalsRowShown="0" headerRowDxfId="30">
  <autoFilter ref="A3:F4" xr:uid="{EE2C6E2F-BBE5-4223-B005-B3C882F94419}">
    <filterColumn colId="0" hiddenButton="1"/>
    <filterColumn colId="1" hiddenButton="1"/>
    <filterColumn colId="2" hiddenButton="1"/>
    <filterColumn colId="3" hiddenButton="1"/>
    <filterColumn colId="4" hiddenButton="1"/>
    <filterColumn colId="5" hiddenButton="1"/>
  </autoFilter>
  <tableColumns count="6">
    <tableColumn id="1" xr3:uid="{43AC994E-5D08-4F6B-80C1-E6E52B4A6952}" name="Particulars">
      <calculatedColumnFormula>'FINANCIAL FORECAST'!A4</calculatedColumnFormula>
    </tableColumn>
    <tableColumn id="2" xr3:uid="{98B0FE12-E542-4728-8206-C08E56B4CA02}" name="FY2025 Actual" dataDxfId="29">
      <calculatedColumnFormula>'FINANCIAL FORECAST'!B4</calculatedColumnFormula>
    </tableColumn>
    <tableColumn id="3" xr3:uid="{821B1837-A8AE-480A-813A-3D1471E5563A}" name="FY2026 Forecast" dataDxfId="28">
      <calculatedColumnFormula>'FINANCIAL FORECAST'!C4</calculatedColumnFormula>
    </tableColumn>
    <tableColumn id="4" xr3:uid="{58639C57-7EBC-4CAF-97A4-448AC81CDC6A}" name="variance" dataDxfId="27">
      <calculatedColumnFormula>C4-B4</calculatedColumnFormula>
    </tableColumn>
    <tableColumn id="5" xr3:uid="{F327B825-1FD3-4C02-94AB-DEBE4900F496}" name="variance %" dataDxfId="26">
      <calculatedColumnFormula>D4/B4</calculatedColumnFormula>
    </tableColumn>
    <tableColumn id="6" xr3:uid="{21F0CC51-59B9-4067-A216-576CD3B293D2}" name="F/U">
      <calculatedColumnFormula>IF(D4&gt;0,"F",IF(D4&lt;0,"UF"))</calculatedColumnFormula>
    </tableColumn>
  </tableColumns>
  <tableStyleInfo name="TableStyleDark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A49A50A-2957-4EDA-B5B4-6E023E155421}" name="Table23" displayName="Table23" ref="A7:F13" totalsRowShown="0" headerRowDxfId="25">
  <autoFilter ref="A7:F13" xr:uid="{6A49A50A-2957-4EDA-B5B4-6E023E155421}">
    <filterColumn colId="0" hiddenButton="1"/>
    <filterColumn colId="1" hiddenButton="1"/>
    <filterColumn colId="2" hiddenButton="1"/>
    <filterColumn colId="3" hiddenButton="1"/>
    <filterColumn colId="4" hiddenButton="1"/>
    <filterColumn colId="5" hiddenButton="1"/>
  </autoFilter>
  <tableColumns count="6">
    <tableColumn id="1" xr3:uid="{BD34610D-FB2C-4E5D-8DB4-3AEA1734C22F}" name="Particulars"/>
    <tableColumn id="2" xr3:uid="{5FD3E727-25C1-4913-8329-E2D128EE909A}" name="FY2025 Actual" dataDxfId="24"/>
    <tableColumn id="3" xr3:uid="{C1307C66-2AD2-4709-89E0-CB26458EB15F}" name="FY2026 Forecast" dataDxfId="23"/>
    <tableColumn id="4" xr3:uid="{A6597FBE-5298-49DA-8627-641880A1B68E}" name="variance" dataDxfId="22">
      <calculatedColumnFormula>B8-C8</calculatedColumnFormula>
    </tableColumn>
    <tableColumn id="5" xr3:uid="{7743BB98-5DE9-435E-88B9-081226841989}" name="variance %" dataDxfId="21">
      <calculatedColumnFormula>D8/B8</calculatedColumnFormula>
    </tableColumn>
    <tableColumn id="6" xr3:uid="{7F56C055-33B2-4AF4-A733-8084B6843B54}" name="F/U">
      <calculatedColumnFormula>IF(D8&gt;0,"F",IF(D8&lt;0,"UF"))</calculatedColumnFormula>
    </tableColumn>
  </tableColumns>
  <tableStyleInfo name="TableStyleDark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E69A5FC-CBDA-4AA8-AB84-5DE3B6413D04}" name="Table24" displayName="Table24" ref="A16:F19" totalsRowShown="0" headerRowDxfId="20">
  <autoFilter ref="A16:F19" xr:uid="{3E69A5FC-CBDA-4AA8-AB84-5DE3B6413D04}">
    <filterColumn colId="0" hiddenButton="1"/>
    <filterColumn colId="1" hiddenButton="1"/>
    <filterColumn colId="2" hiddenButton="1"/>
    <filterColumn colId="3" hiddenButton="1"/>
    <filterColumn colId="4" hiddenButton="1"/>
    <filterColumn colId="5" hiddenButton="1"/>
  </autoFilter>
  <tableColumns count="6">
    <tableColumn id="1" xr3:uid="{CB063325-1F00-403E-8351-91FEDCC5590A}" name="Particulars"/>
    <tableColumn id="2" xr3:uid="{E75CC7E6-A9D4-4277-B0CE-1217B98F394D}" name="FY2025 Actual" dataDxfId="19"/>
    <tableColumn id="3" xr3:uid="{12DFA233-2357-430F-9914-D4625F1AACD7}" name="FY2026 Forecast" dataDxfId="18"/>
    <tableColumn id="4" xr3:uid="{62BEEF1A-4AE0-4962-8B50-2FC82DEDA6A1}" name="variance" dataDxfId="17">
      <calculatedColumnFormula>C17-B17</calculatedColumnFormula>
    </tableColumn>
    <tableColumn id="5" xr3:uid="{3E80DC22-0F53-4833-BE43-CF87F8B3168F}" name="variance %" dataDxfId="16">
      <calculatedColumnFormula>D17/B17</calculatedColumnFormula>
    </tableColumn>
    <tableColumn id="6" xr3:uid="{7E3A03E6-F300-42CF-B26A-48C1008B593A}" name="F/U">
      <calculatedColumnFormula>IF(D17&gt;0,"F",IF(D17&lt;0,"UF"))</calculatedColumnFormula>
    </tableColumn>
  </tableColumns>
  <tableStyleInfo name="TableStyleDark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5E33BC6-6878-4614-A35D-1C0FE4419124}" name="Table25" displayName="Table25" ref="A22:F26" totalsRowShown="0" headerRowDxfId="15">
  <autoFilter ref="A22:F26" xr:uid="{65E33BC6-6878-4614-A35D-1C0FE4419124}">
    <filterColumn colId="0" hiddenButton="1"/>
    <filterColumn colId="1" hiddenButton="1"/>
    <filterColumn colId="2" hiddenButton="1"/>
    <filterColumn colId="3" hiddenButton="1"/>
    <filterColumn colId="4" hiddenButton="1"/>
    <filterColumn colId="5" hiddenButton="1"/>
  </autoFilter>
  <tableColumns count="6">
    <tableColumn id="1" xr3:uid="{80F795DA-13B1-456F-BA4C-37EBB5F3DB98}" name="Particulars">
      <calculatedColumnFormula>'FINANCIAL FORECAST'!A17</calculatedColumnFormula>
    </tableColumn>
    <tableColumn id="2" xr3:uid="{F2D06B7E-0FA8-462B-84EC-9B9893FB26D6}" name="FY2025 Actual" dataDxfId="14">
      <calculatedColumnFormula>'FINANCIAL FORECAST'!B17</calculatedColumnFormula>
    </tableColumn>
    <tableColumn id="3" xr3:uid="{A5DB2273-A79F-4E93-9423-D18E98FC2E8D}" name="FY2026 Forecast" dataDxfId="13">
      <calculatedColumnFormula>'FINANCIAL FORECAST'!C17</calculatedColumnFormula>
    </tableColumn>
    <tableColumn id="4" xr3:uid="{C686A523-6FD7-4586-A5AD-E84ACBAFB7DE}" name="variance" dataDxfId="12"/>
    <tableColumn id="5" xr3:uid="{CA6758FA-7D90-4B7C-B222-A5717CBDE068}" name="variance %" dataDxfId="11">
      <calculatedColumnFormula>D23/B23</calculatedColumnFormula>
    </tableColumn>
    <tableColumn id="6" xr3:uid="{3B8A534C-A343-4749-ABB4-EC0CACBC52F2}" name="F/U">
      <calculatedColumnFormula>IF(D23&gt;0,"F",IF(D23&lt;0,"UF"))</calculatedColumnFormula>
    </tableColumn>
  </tableColumns>
  <tableStyleInfo name="TableStyleDark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C183971-E26F-4A2A-B153-9E00342C75A9}" name="Table26" displayName="Table26" ref="A29:F32" totalsRowShown="0" headerRowDxfId="10">
  <autoFilter ref="A29:F32" xr:uid="{0C183971-E26F-4A2A-B153-9E00342C75A9}">
    <filterColumn colId="0" hiddenButton="1"/>
    <filterColumn colId="1" hiddenButton="1"/>
    <filterColumn colId="2" hiddenButton="1"/>
    <filterColumn colId="3" hiddenButton="1"/>
    <filterColumn colId="4" hiddenButton="1"/>
    <filterColumn colId="5" hiddenButton="1"/>
  </autoFilter>
  <tableColumns count="6">
    <tableColumn id="1" xr3:uid="{10CE59F2-3BF4-431B-9B14-2450BEA3FA41}" name="Particulars">
      <calculatedColumnFormula>'FINANCIAL FORECAST'!A26</calculatedColumnFormula>
    </tableColumn>
    <tableColumn id="2" xr3:uid="{07302F0A-C5FD-42F5-B983-AC53BA66B9AE}" name="FY2025 Actual" dataDxfId="9">
      <calculatedColumnFormula>'FINANCIAL FORECAST'!B26</calculatedColumnFormula>
    </tableColumn>
    <tableColumn id="3" xr3:uid="{DF90BF16-4384-4E6A-922C-091ED98386C0}" name="FY2026 Forecast" dataDxfId="8">
      <calculatedColumnFormula>'FINANCIAL FORECAST'!C26</calculatedColumnFormula>
    </tableColumn>
    <tableColumn id="4" xr3:uid="{2FDA75CA-88D6-4AD6-981E-49ABEE022F99}" name="variance" dataDxfId="7">
      <calculatedColumnFormula>C30-B30</calculatedColumnFormula>
    </tableColumn>
    <tableColumn id="5" xr3:uid="{9AE95345-9138-41A7-B0E2-279D1571828E}" name="variance %" dataDxfId="6">
      <calculatedColumnFormula>D30/B30</calculatedColumnFormula>
    </tableColumn>
    <tableColumn id="6" xr3:uid="{6BC59F7B-0555-451D-96CD-C6E52251D6F7}" name="F/U">
      <calculatedColumnFormula>IF(D30&gt;0,"F",IF(D30&lt;0,"UF"))</calculatedColumnFormula>
    </tableColumn>
  </tableColumns>
  <tableStyleInfo name="TableStyleDark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DC8D9E-3B2F-482E-9165-3E851B283718}" name="Table29" displayName="Table29" ref="A2:B9" totalsRowShown="0" headerRowDxfId="5">
  <autoFilter ref="A2:B9" xr:uid="{0DDC8D9E-3B2F-482E-9165-3E851B283718}">
    <filterColumn colId="0" hiddenButton="1"/>
    <filterColumn colId="1" hiddenButton="1"/>
  </autoFilter>
  <tableColumns count="2">
    <tableColumn id="1" xr3:uid="{AE1D775D-60F8-46B5-85D2-C0A23BEC5787}" name="Revenue Growth" dataDxfId="4"/>
    <tableColumn id="2" xr3:uid="{C447E26F-25E5-47C6-9464-B9B8897F94B6}" name="FY2026 revenue is expected to increase by 6.42% compared with FY2025. This shows that the company is expected to continue growing, although the growth is moderate." dataDxfId="3"/>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comments" Target="../comments1.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7.bin"/><Relationship Id="rId4"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8.bin"/><Relationship Id="rId6" Type="http://schemas.openxmlformats.org/officeDocument/2006/relationships/table" Target="../tables/table23.xml"/><Relationship Id="rId5" Type="http://schemas.openxmlformats.org/officeDocument/2006/relationships/table" Target="../tables/table22.xml"/><Relationship Id="rId4" Type="http://schemas.openxmlformats.org/officeDocument/2006/relationships/table" Target="../tables/table2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40E4B-389C-48ED-86A8-0E58C83F22DD}">
  <sheetPr>
    <tabColor theme="4" tint="0.39997558519241921"/>
  </sheetPr>
  <dimension ref="A1:I29"/>
  <sheetViews>
    <sheetView zoomScaleNormal="100" workbookViewId="0">
      <selection activeCell="J16" sqref="J16"/>
    </sheetView>
  </sheetViews>
  <sheetFormatPr defaultRowHeight="14.4"/>
  <cols>
    <col min="1" max="1" width="13" customWidth="1"/>
    <col min="2" max="2" width="18.109375" customWidth="1"/>
    <col min="3" max="3" width="14.109375" customWidth="1"/>
    <col min="7" max="7" width="10.88671875" customWidth="1"/>
  </cols>
  <sheetData>
    <row r="1" spans="1:9">
      <c r="A1" s="178"/>
      <c r="B1" s="179"/>
      <c r="C1" s="179"/>
      <c r="D1" s="179"/>
      <c r="E1" s="179"/>
      <c r="F1" s="179"/>
      <c r="G1" s="179"/>
      <c r="H1" s="180"/>
    </row>
    <row r="2" spans="1:9">
      <c r="A2" s="181"/>
      <c r="B2" s="182"/>
      <c r="C2" s="182"/>
      <c r="D2" s="182"/>
      <c r="E2" s="182"/>
      <c r="F2" s="182"/>
      <c r="G2" s="182"/>
      <c r="H2" s="183"/>
      <c r="I2" s="149"/>
    </row>
    <row r="3" spans="1:9">
      <c r="A3" s="181"/>
      <c r="B3" s="182"/>
      <c r="C3" s="182"/>
      <c r="D3" s="182"/>
      <c r="E3" s="182"/>
      <c r="F3" s="182"/>
      <c r="G3" s="182"/>
      <c r="H3" s="183"/>
      <c r="I3" s="149"/>
    </row>
    <row r="4" spans="1:9">
      <c r="A4" s="187" t="s">
        <v>388</v>
      </c>
      <c r="B4" s="188"/>
      <c r="C4" s="188"/>
      <c r="D4" s="188"/>
      <c r="E4" s="188"/>
      <c r="F4" s="188"/>
      <c r="G4" s="188"/>
      <c r="H4" s="189"/>
      <c r="I4" s="149"/>
    </row>
    <row r="5" spans="1:9">
      <c r="A5" s="187"/>
      <c r="B5" s="188"/>
      <c r="C5" s="188"/>
      <c r="D5" s="188"/>
      <c r="E5" s="188"/>
      <c r="F5" s="188"/>
      <c r="G5" s="188"/>
      <c r="H5" s="189"/>
      <c r="I5" s="149"/>
    </row>
    <row r="6" spans="1:9" ht="25.8">
      <c r="A6" s="193" t="s">
        <v>384</v>
      </c>
      <c r="B6" s="194"/>
      <c r="C6" s="194"/>
      <c r="D6" s="194"/>
      <c r="E6" s="194"/>
      <c r="F6" s="194"/>
      <c r="G6" s="194"/>
      <c r="H6" s="195"/>
      <c r="I6" s="149"/>
    </row>
    <row r="7" spans="1:9">
      <c r="A7" s="190"/>
      <c r="B7" s="191"/>
      <c r="C7" s="191"/>
      <c r="D7" s="191"/>
      <c r="E7" s="191"/>
      <c r="F7" s="191"/>
      <c r="G7" s="191"/>
      <c r="H7" s="192"/>
      <c r="I7" s="149"/>
    </row>
    <row r="8" spans="1:9" ht="33.6">
      <c r="A8" s="196" t="s">
        <v>373</v>
      </c>
      <c r="B8" s="197"/>
      <c r="C8" s="197"/>
      <c r="D8" s="197"/>
      <c r="E8" s="197"/>
      <c r="F8" s="197"/>
      <c r="G8" s="197"/>
      <c r="H8" s="198"/>
      <c r="I8" s="149"/>
    </row>
    <row r="9" spans="1:9">
      <c r="A9" s="190"/>
      <c r="B9" s="191"/>
      <c r="C9" s="191"/>
      <c r="D9" s="191"/>
      <c r="E9" s="191"/>
      <c r="F9" s="191"/>
      <c r="G9" s="191"/>
      <c r="H9" s="192"/>
      <c r="I9" s="149"/>
    </row>
    <row r="10" spans="1:9" ht="17.399999999999999">
      <c r="A10" s="199" t="s">
        <v>374</v>
      </c>
      <c r="B10" s="200"/>
      <c r="C10" s="200"/>
      <c r="D10" s="200"/>
      <c r="E10" s="200"/>
      <c r="F10" s="200"/>
      <c r="G10" s="200"/>
      <c r="H10" s="201"/>
      <c r="I10" s="149"/>
    </row>
    <row r="11" spans="1:9">
      <c r="A11" s="190"/>
      <c r="B11" s="191"/>
      <c r="C11" s="191"/>
      <c r="D11" s="191"/>
      <c r="E11" s="191"/>
      <c r="F11" s="191"/>
      <c r="G11" s="191"/>
      <c r="H11" s="192"/>
      <c r="I11" s="149"/>
    </row>
    <row r="12" spans="1:9">
      <c r="A12" s="190"/>
      <c r="B12" s="191"/>
      <c r="C12" s="191"/>
      <c r="D12" s="191"/>
      <c r="E12" s="191"/>
      <c r="F12" s="191"/>
      <c r="G12" s="191"/>
      <c r="H12" s="192"/>
      <c r="I12" s="149"/>
    </row>
    <row r="13" spans="1:9" ht="15" thickBot="1">
      <c r="A13" s="190"/>
      <c r="B13" s="191"/>
      <c r="C13" s="191"/>
      <c r="D13" s="191"/>
      <c r="E13" s="191"/>
      <c r="F13" s="191"/>
      <c r="G13" s="191"/>
      <c r="H13" s="192"/>
      <c r="I13" s="149"/>
    </row>
    <row r="14" spans="1:9" ht="15" thickBot="1">
      <c r="A14" s="152"/>
      <c r="B14" s="156" t="s">
        <v>375</v>
      </c>
      <c r="C14" s="157"/>
      <c r="D14" s="158"/>
      <c r="E14" s="159" t="s">
        <v>376</v>
      </c>
      <c r="F14" s="160"/>
      <c r="G14" s="161"/>
      <c r="H14" s="153"/>
      <c r="I14" s="149"/>
    </row>
    <row r="15" spans="1:9" ht="22.2">
      <c r="B15" s="162" t="s">
        <v>377</v>
      </c>
      <c r="C15" s="163"/>
      <c r="D15" s="164"/>
      <c r="E15" s="168" t="s">
        <v>370</v>
      </c>
      <c r="F15" s="169"/>
      <c r="G15" s="170"/>
      <c r="H15" s="153"/>
      <c r="I15" s="149"/>
    </row>
    <row r="16" spans="1:9" ht="22.8" thickBot="1">
      <c r="A16" s="152"/>
      <c r="B16" s="165"/>
      <c r="C16" s="166"/>
      <c r="D16" s="167"/>
      <c r="E16" s="171"/>
      <c r="F16" s="172"/>
      <c r="G16" s="173"/>
      <c r="H16" s="153"/>
      <c r="I16" s="149"/>
    </row>
    <row r="17" spans="1:9">
      <c r="A17" s="152"/>
      <c r="B17" s="150"/>
      <c r="C17" s="150"/>
      <c r="D17" s="150"/>
      <c r="E17" s="150"/>
      <c r="F17" s="150"/>
      <c r="G17" s="150"/>
      <c r="H17" s="153"/>
      <c r="I17" s="149"/>
    </row>
    <row r="18" spans="1:9">
      <c r="A18" s="154"/>
      <c r="B18" s="151"/>
      <c r="C18" s="151"/>
      <c r="D18" s="151"/>
      <c r="E18" s="151"/>
      <c r="F18" s="151"/>
      <c r="G18" s="151"/>
      <c r="H18" s="155"/>
      <c r="I18" s="149"/>
    </row>
    <row r="19" spans="1:9">
      <c r="A19" s="152"/>
      <c r="B19" s="150"/>
      <c r="C19" s="150"/>
      <c r="D19" s="150"/>
      <c r="E19" s="150"/>
      <c r="F19" s="150"/>
      <c r="G19" s="150"/>
      <c r="H19" s="153"/>
      <c r="I19" s="149"/>
    </row>
    <row r="20" spans="1:9">
      <c r="A20" s="205" t="s">
        <v>378</v>
      </c>
      <c r="B20" s="206"/>
      <c r="C20" s="206"/>
      <c r="D20" s="206"/>
      <c r="E20" s="206"/>
      <c r="F20" s="206"/>
      <c r="G20" s="206"/>
      <c r="H20" s="207"/>
      <c r="I20" s="149"/>
    </row>
    <row r="21" spans="1:9" ht="23.4">
      <c r="A21" s="208" t="s">
        <v>382</v>
      </c>
      <c r="B21" s="209"/>
      <c r="C21" s="209"/>
      <c r="D21" s="209"/>
      <c r="E21" s="209"/>
      <c r="F21" s="209"/>
      <c r="G21" s="209"/>
      <c r="H21" s="210"/>
      <c r="I21" s="149"/>
    </row>
    <row r="22" spans="1:9">
      <c r="A22" s="152"/>
      <c r="B22" s="150"/>
      <c r="C22" s="150"/>
      <c r="D22" s="150"/>
      <c r="E22" s="150"/>
      <c r="F22" s="150"/>
      <c r="G22" s="150"/>
      <c r="H22" s="153"/>
      <c r="I22" s="149"/>
    </row>
    <row r="23" spans="1:9">
      <c r="A23" s="211" t="s">
        <v>379</v>
      </c>
      <c r="B23" s="212"/>
      <c r="C23" s="212"/>
      <c r="D23" s="212"/>
      <c r="E23" s="212"/>
      <c r="F23" s="212"/>
      <c r="G23" s="212"/>
      <c r="H23" s="213"/>
      <c r="I23" s="149"/>
    </row>
    <row r="24" spans="1:9" ht="19.8" customHeight="1">
      <c r="A24" s="211" t="s">
        <v>380</v>
      </c>
      <c r="B24" s="212"/>
      <c r="C24" s="212"/>
      <c r="D24" s="212"/>
      <c r="E24" s="212"/>
      <c r="F24" s="212"/>
      <c r="G24" s="212"/>
      <c r="H24" s="213"/>
      <c r="I24" s="149"/>
    </row>
    <row r="25" spans="1:9" ht="24" customHeight="1">
      <c r="A25" s="202" t="s">
        <v>383</v>
      </c>
      <c r="B25" s="203"/>
      <c r="C25" s="203"/>
      <c r="D25" s="203"/>
      <c r="E25" s="203"/>
      <c r="F25" s="203"/>
      <c r="G25" s="203"/>
      <c r="H25" s="204"/>
      <c r="I25" s="149"/>
    </row>
    <row r="26" spans="1:9" ht="23.4" customHeight="1">
      <c r="A26" s="202"/>
      <c r="B26" s="203"/>
      <c r="C26" s="203"/>
      <c r="D26" s="203"/>
      <c r="E26" s="203"/>
      <c r="F26" s="203"/>
      <c r="G26" s="203"/>
      <c r="H26" s="204"/>
      <c r="I26" s="149"/>
    </row>
    <row r="27" spans="1:9">
      <c r="A27" s="184" t="s">
        <v>381</v>
      </c>
      <c r="B27" s="185"/>
      <c r="C27" s="185"/>
      <c r="D27" s="185"/>
      <c r="E27" s="185"/>
      <c r="F27" s="185"/>
      <c r="G27" s="185"/>
      <c r="H27" s="186"/>
      <c r="I27" s="149"/>
    </row>
    <row r="28" spans="1:9">
      <c r="A28" s="178"/>
      <c r="B28" s="179"/>
      <c r="C28" s="179"/>
      <c r="D28" s="179"/>
      <c r="E28" s="179"/>
      <c r="F28" s="179"/>
      <c r="G28" s="179"/>
      <c r="H28" s="180"/>
    </row>
    <row r="29" spans="1:9">
      <c r="A29" s="181"/>
      <c r="B29" s="182"/>
      <c r="C29" s="182"/>
      <c r="D29" s="182"/>
      <c r="E29" s="182"/>
      <c r="F29" s="182"/>
      <c r="G29" s="182"/>
      <c r="H29" s="183"/>
    </row>
  </sheetData>
  <mergeCells count="15">
    <mergeCell ref="A28:H29"/>
    <mergeCell ref="A27:H27"/>
    <mergeCell ref="A1:H3"/>
    <mergeCell ref="A4:H5"/>
    <mergeCell ref="A7:H7"/>
    <mergeCell ref="A11:H13"/>
    <mergeCell ref="A9:H9"/>
    <mergeCell ref="A6:H6"/>
    <mergeCell ref="A8:H8"/>
    <mergeCell ref="A10:H10"/>
    <mergeCell ref="A25:H26"/>
    <mergeCell ref="A20:H20"/>
    <mergeCell ref="A21:H21"/>
    <mergeCell ref="A23:H23"/>
    <mergeCell ref="A24:H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28FC-3003-4424-998E-9D29DD1FC656}">
  <sheetPr>
    <tabColor theme="4" tint="-0.249977111117893"/>
    <pageSetUpPr fitToPage="1"/>
  </sheetPr>
  <dimension ref="A1:G9"/>
  <sheetViews>
    <sheetView tabSelected="1" zoomScale="70" zoomScaleNormal="70" workbookViewId="0">
      <selection activeCell="V13" sqref="V13"/>
    </sheetView>
  </sheetViews>
  <sheetFormatPr defaultRowHeight="14.4"/>
  <cols>
    <col min="1" max="1" width="26.5546875" bestFit="1" customWidth="1"/>
    <col min="2" max="2" width="11.44140625" bestFit="1" customWidth="1"/>
    <col min="3" max="7" width="12.109375" bestFit="1" customWidth="1"/>
  </cols>
  <sheetData>
    <row r="1" spans="1:7" ht="26.4" thickBot="1">
      <c r="A1" s="177" t="s">
        <v>364</v>
      </c>
      <c r="B1" s="177"/>
      <c r="C1" s="177"/>
      <c r="D1" s="177"/>
      <c r="E1" s="177"/>
      <c r="F1" s="177"/>
      <c r="G1" s="177"/>
    </row>
    <row r="2" spans="1:7" ht="15" thickTop="1">
      <c r="A2" s="100" t="s">
        <v>372</v>
      </c>
      <c r="B2" s="100" t="s">
        <v>145</v>
      </c>
      <c r="C2" s="100" t="s">
        <v>146</v>
      </c>
      <c r="D2" s="100" t="s">
        <v>147</v>
      </c>
      <c r="E2" s="100" t="s">
        <v>148</v>
      </c>
      <c r="F2" s="100" t="s">
        <v>149</v>
      </c>
      <c r="G2" s="100" t="s">
        <v>370</v>
      </c>
    </row>
    <row r="3" spans="1:7">
      <c r="A3" t="s">
        <v>365</v>
      </c>
      <c r="B3" s="99">
        <f>'FINANCIAL ANALYSIS'!B4</f>
        <v>164177</v>
      </c>
      <c r="C3" s="36">
        <f>'FINANCIAL ANALYSIS'!C4</f>
        <v>191754</v>
      </c>
      <c r="D3" s="36">
        <f>'FINANCIAL ANALYSIS'!D4</f>
        <v>225458</v>
      </c>
      <c r="E3" s="36">
        <f>'FINANCIAL ANALYSIS'!E4</f>
        <v>240893</v>
      </c>
      <c r="F3" s="36">
        <f>'FINANCIAL ANALYSIS'!F4</f>
        <v>255324</v>
      </c>
      <c r="G3" s="36">
        <f>'FINANCIAL FORECAST'!C4</f>
        <v>271715.80080000003</v>
      </c>
    </row>
    <row r="4" spans="1:7">
      <c r="A4" t="s">
        <v>369</v>
      </c>
      <c r="B4" s="99">
        <f>'FINANCIAL ANALYSIS'!B22</f>
        <v>122333</v>
      </c>
      <c r="C4" s="36">
        <f>'FINANCIAL ANALYSIS'!C22</f>
        <v>144085</v>
      </c>
      <c r="D4" s="36">
        <f>'FINANCIAL ANALYSIS'!D22</f>
        <v>172000</v>
      </c>
      <c r="E4" s="36">
        <f>'FINANCIAL ANALYSIS'!E22</f>
        <v>182360</v>
      </c>
      <c r="F4" s="36">
        <f>'FINANCIAL ANALYSIS'!F22</f>
        <v>193955</v>
      </c>
      <c r="G4" s="36">
        <f>SUM('FINANCIAL FORECAST'!C5:C9)</f>
        <v>203699.69510009704</v>
      </c>
    </row>
    <row r="5" spans="1:7">
      <c r="A5" t="s">
        <v>161</v>
      </c>
      <c r="B5" s="99">
        <f>'FINANCIAL ANALYSIS'!B30</f>
        <v>44397</v>
      </c>
      <c r="C5" s="36">
        <f>'FINANCIAL ANALYSIS'!C30</f>
        <v>52471</v>
      </c>
      <c r="D5" s="36">
        <f>'FINANCIAL ANALYSIS'!D30</f>
        <v>57686</v>
      </c>
      <c r="E5" s="36">
        <f>'FINANCIAL ANALYSIS'!E30</f>
        <v>62775</v>
      </c>
      <c r="F5" s="36">
        <f>'FINANCIAL ANALYSIS'!F30</f>
        <v>66127</v>
      </c>
      <c r="G5" s="36">
        <f>'FINANCIAL FORECAST'!C10</f>
        <v>68903.932197523551</v>
      </c>
    </row>
    <row r="6" spans="1:7">
      <c r="A6" t="s">
        <v>366</v>
      </c>
      <c r="B6" s="99">
        <f>'FINANCIAL ANALYSIS'!B33</f>
        <v>32562</v>
      </c>
      <c r="C6" s="36">
        <f>'FINANCIAL ANALYSIS'!C33</f>
        <v>38449</v>
      </c>
      <c r="D6" s="36">
        <f>'FINANCIAL ANALYSIS'!D33</f>
        <v>42303</v>
      </c>
      <c r="E6" s="36">
        <f>'FINANCIAL ANALYSIS'!E33</f>
        <v>46099</v>
      </c>
      <c r="F6" s="36">
        <f>'FINANCIAL ANALYSIS'!F33</f>
        <v>48797</v>
      </c>
      <c r="G6" s="36">
        <f>'FINANCIAL FORECAST'!C13</f>
        <v>50629.069399127031</v>
      </c>
    </row>
    <row r="7" spans="1:7">
      <c r="A7" t="s">
        <v>367</v>
      </c>
      <c r="B7" s="99">
        <f>'FINANCIAL ANALYSIS'!B60</f>
        <v>38802</v>
      </c>
      <c r="C7" s="36">
        <f>'FINANCIAL ANALYSIS'!C60</f>
        <v>39949</v>
      </c>
      <c r="D7" s="36">
        <f>'FINANCIAL ANALYSIS'!D60</f>
        <v>41965</v>
      </c>
      <c r="E7" s="36">
        <f>'FINANCIAL ANALYSIS'!E60</f>
        <v>44338</v>
      </c>
      <c r="F7" s="36">
        <f>'FINANCIAL ANALYSIS'!F60</f>
        <v>48908</v>
      </c>
      <c r="G7" s="36">
        <f>'FINANCIAL FORECAST'!C26</f>
        <v>57553.574272178164</v>
      </c>
    </row>
    <row r="8" spans="1:7">
      <c r="A8" t="s">
        <v>371</v>
      </c>
      <c r="B8" s="99">
        <f>'FINANCIAL ANALYSIS'!B53</f>
        <v>25152</v>
      </c>
      <c r="C8" s="99">
        <f>'FINANCIAL ANALYSIS'!C53</f>
        <v>30130</v>
      </c>
      <c r="D8" s="99">
        <f>'FINANCIAL ANALYSIS'!D53</f>
        <v>35596</v>
      </c>
      <c r="E8" s="99">
        <f>'FINANCIAL ANALYSIS'!E53</f>
        <v>39956</v>
      </c>
      <c r="F8" s="99">
        <f>'FINANCIAL ANALYSIS'!F53</f>
        <v>41109</v>
      </c>
      <c r="G8" s="36">
        <f>'FINANCIAL FORECAST'!C20</f>
        <v>39763.031526948864</v>
      </c>
    </row>
    <row r="9" spans="1:7">
      <c r="A9" t="s">
        <v>368</v>
      </c>
      <c r="B9" s="99">
        <f>'FINANCIAL ANALYSIS'!B64</f>
        <v>35727</v>
      </c>
      <c r="C9" s="36">
        <f>'FINANCIAL ANALYSIS'!C64</f>
        <v>36969</v>
      </c>
      <c r="D9" s="36">
        <f>'FINANCIAL ANALYSIS'!D64</f>
        <v>39078</v>
      </c>
      <c r="E9" s="36">
        <f>'FINANCIAL ANALYSIS'!E64</f>
        <v>41694</v>
      </c>
      <c r="F9" s="36">
        <f>'FINANCIAL ANALYSIS'!F64</f>
        <v>45047</v>
      </c>
      <c r="G9" s="36">
        <f>'FINANCIAL FORECAST'!C28</f>
        <v>54007.983300747277</v>
      </c>
    </row>
  </sheetData>
  <mergeCells count="1">
    <mergeCell ref="A1:G1"/>
  </mergeCells>
  <phoneticPr fontId="3" type="noConversion"/>
  <pageMargins left="0.7" right="0.7" top="0.75" bottom="0.75" header="0.3" footer="0.3"/>
  <pageSetup paperSize="5" scale="78"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6B10-7022-4580-9605-2FA6305309C3}">
  <sheetPr>
    <tabColor theme="3" tint="9.9978637043366805E-2"/>
  </sheetPr>
  <dimension ref="A1:I157"/>
  <sheetViews>
    <sheetView zoomScaleNormal="100" workbookViewId="0">
      <selection activeCell="H11" sqref="H11"/>
    </sheetView>
  </sheetViews>
  <sheetFormatPr defaultRowHeight="14.4"/>
  <cols>
    <col min="1" max="1" width="48.5546875" style="1" customWidth="1"/>
    <col min="2" max="2" width="12.33203125" style="1" customWidth="1"/>
    <col min="3" max="3" width="12.6640625" style="1" customWidth="1"/>
    <col min="4" max="4" width="11.88671875" style="1" customWidth="1"/>
    <col min="5" max="5" width="12.109375" style="1" customWidth="1"/>
    <col min="6" max="6" width="12.44140625" style="1" customWidth="1"/>
    <col min="7" max="7" width="8.88671875" style="1" customWidth="1"/>
    <col min="8" max="16384" width="8.88671875" style="1"/>
  </cols>
  <sheetData>
    <row r="1" spans="1:7">
      <c r="A1" s="257" t="s">
        <v>386</v>
      </c>
      <c r="B1" s="257"/>
      <c r="C1" s="257"/>
      <c r="D1" s="257"/>
      <c r="E1" s="257"/>
      <c r="F1" s="257"/>
    </row>
    <row r="2" spans="1:7">
      <c r="A2" s="257"/>
      <c r="B2" s="257"/>
      <c r="C2" s="257"/>
      <c r="D2" s="257"/>
      <c r="E2" s="257"/>
      <c r="F2" s="257"/>
    </row>
    <row r="3" spans="1:7">
      <c r="A3" s="256" t="s">
        <v>122</v>
      </c>
      <c r="B3" s="256"/>
      <c r="C3" s="256"/>
      <c r="D3" s="256"/>
      <c r="E3" s="256"/>
      <c r="F3" s="256"/>
    </row>
    <row r="4" spans="1:7" ht="15.6">
      <c r="A4" s="102" t="s">
        <v>59</v>
      </c>
      <c r="B4" s="103" t="s">
        <v>123</v>
      </c>
      <c r="C4" s="103" t="s">
        <v>124</v>
      </c>
      <c r="D4" s="103" t="s">
        <v>125</v>
      </c>
      <c r="E4" s="103" t="s">
        <v>126</v>
      </c>
      <c r="F4" s="104" t="s">
        <v>127</v>
      </c>
    </row>
    <row r="5" spans="1:7" ht="15.6">
      <c r="A5" s="258" t="s">
        <v>139</v>
      </c>
      <c r="B5" s="259"/>
      <c r="C5" s="259"/>
      <c r="D5" s="259"/>
      <c r="E5" s="259"/>
      <c r="F5" s="260"/>
      <c r="G5" s="2"/>
    </row>
    <row r="6" spans="1:7">
      <c r="A6" s="217" t="s">
        <v>6</v>
      </c>
      <c r="B6" s="218"/>
      <c r="C6" s="218"/>
      <c r="D6" s="218"/>
      <c r="E6" s="218"/>
      <c r="F6" s="219"/>
    </row>
    <row r="7" spans="1:7">
      <c r="A7" s="105" t="s">
        <v>10</v>
      </c>
      <c r="B7" s="106">
        <v>164177</v>
      </c>
      <c r="C7" s="107">
        <v>191754</v>
      </c>
      <c r="D7" s="107">
        <v>225458</v>
      </c>
      <c r="E7" s="107">
        <v>240893</v>
      </c>
      <c r="F7" s="108">
        <v>255324</v>
      </c>
    </row>
    <row r="8" spans="1:7">
      <c r="A8" s="105" t="s">
        <v>0</v>
      </c>
      <c r="B8" s="107">
        <v>3134</v>
      </c>
      <c r="C8" s="107">
        <v>4018</v>
      </c>
      <c r="D8" s="107">
        <v>3449</v>
      </c>
      <c r="E8" s="107">
        <v>4422</v>
      </c>
      <c r="F8" s="108">
        <v>3962</v>
      </c>
    </row>
    <row r="9" spans="1:7" ht="16.2">
      <c r="A9" s="109" t="s">
        <v>140</v>
      </c>
      <c r="B9" s="110">
        <f>SUM(B7:B8)</f>
        <v>167311</v>
      </c>
      <c r="C9" s="111">
        <f>SUM(C7:C8)</f>
        <v>195772</v>
      </c>
      <c r="D9" s="111">
        <f>SUM(D7:D8)</f>
        <v>228907</v>
      </c>
      <c r="E9" s="111">
        <f>SUM(E7:E8)</f>
        <v>245315</v>
      </c>
      <c r="F9" s="112">
        <f>F7+F8</f>
        <v>259286</v>
      </c>
    </row>
    <row r="10" spans="1:7">
      <c r="A10" s="226" t="s">
        <v>1</v>
      </c>
      <c r="B10" s="227"/>
      <c r="C10" s="227"/>
      <c r="D10" s="227"/>
      <c r="E10" s="227"/>
      <c r="F10" s="228"/>
    </row>
    <row r="11" spans="1:7">
      <c r="A11" s="105" t="s">
        <v>2</v>
      </c>
      <c r="B11" s="107">
        <v>91814</v>
      </c>
      <c r="C11" s="107">
        <v>107554</v>
      </c>
      <c r="D11" s="107">
        <v>127522</v>
      </c>
      <c r="E11" s="107">
        <v>140131</v>
      </c>
      <c r="F11" s="108">
        <v>145788</v>
      </c>
    </row>
    <row r="12" spans="1:7">
      <c r="A12" s="105" t="s">
        <v>9</v>
      </c>
      <c r="B12" s="107">
        <v>1462</v>
      </c>
      <c r="C12" s="107">
        <v>1163</v>
      </c>
      <c r="D12" s="107">
        <v>1881</v>
      </c>
      <c r="E12" s="107">
        <v>3702</v>
      </c>
      <c r="F12" s="108">
        <v>11648</v>
      </c>
    </row>
    <row r="13" spans="1:7">
      <c r="A13" s="105" t="s">
        <v>11</v>
      </c>
      <c r="B13" s="107">
        <v>637</v>
      </c>
      <c r="C13" s="107">
        <v>784</v>
      </c>
      <c r="D13" s="107">
        <v>779</v>
      </c>
      <c r="E13" s="107">
        <v>778</v>
      </c>
      <c r="F13" s="108">
        <v>796</v>
      </c>
    </row>
    <row r="14" spans="1:7">
      <c r="A14" s="105" t="s">
        <v>7</v>
      </c>
      <c r="B14" s="107">
        <v>4065</v>
      </c>
      <c r="C14" s="107">
        <v>4604</v>
      </c>
      <c r="D14" s="107">
        <v>5022</v>
      </c>
      <c r="E14" s="107">
        <v>4985</v>
      </c>
      <c r="F14" s="108">
        <v>5242</v>
      </c>
    </row>
    <row r="15" spans="1:7">
      <c r="A15" s="105" t="s">
        <v>3</v>
      </c>
      <c r="B15" s="107">
        <v>24355</v>
      </c>
      <c r="C15" s="107">
        <v>29980</v>
      </c>
      <c r="D15" s="107">
        <v>36796</v>
      </c>
      <c r="E15" s="107">
        <v>32764</v>
      </c>
      <c r="F15" s="108">
        <v>30481</v>
      </c>
    </row>
    <row r="16" spans="1:7" ht="16.2">
      <c r="A16" s="109" t="s">
        <v>141</v>
      </c>
      <c r="B16" s="110">
        <f>SUM(B11:B15)</f>
        <v>122333</v>
      </c>
      <c r="C16" s="110">
        <f>SUM(C11:C15)</f>
        <v>144085</v>
      </c>
      <c r="D16" s="110">
        <f>SUM(D11:D15)</f>
        <v>172000</v>
      </c>
      <c r="E16" s="110">
        <f>SUM(E11:E15)</f>
        <v>182360</v>
      </c>
      <c r="F16" s="113">
        <f>SUM(F11:F15)</f>
        <v>193955</v>
      </c>
    </row>
    <row r="17" spans="1:6">
      <c r="A17" s="226" t="s">
        <v>4</v>
      </c>
      <c r="B17" s="227"/>
      <c r="C17" s="227"/>
      <c r="D17" s="227"/>
      <c r="E17" s="227"/>
      <c r="F17" s="228"/>
    </row>
    <row r="18" spans="1:6">
      <c r="A18" s="109" t="s">
        <v>12</v>
      </c>
      <c r="B18" s="119">
        <f>B9-B16</f>
        <v>44978</v>
      </c>
      <c r="C18" s="119">
        <f>C9-C16</f>
        <v>51687</v>
      </c>
      <c r="D18" s="119">
        <f>D9-D16</f>
        <v>56907</v>
      </c>
      <c r="E18" s="119">
        <f>E9-E16</f>
        <v>62955</v>
      </c>
      <c r="F18" s="130">
        <f>F9-F16</f>
        <v>65331</v>
      </c>
    </row>
    <row r="19" spans="1:6">
      <c r="A19" s="105" t="s">
        <v>13</v>
      </c>
      <c r="B19" s="107">
        <v>1218</v>
      </c>
      <c r="C19" s="107">
        <v>0</v>
      </c>
      <c r="D19" s="107">
        <v>0</v>
      </c>
      <c r="E19" s="107">
        <v>958</v>
      </c>
      <c r="F19" s="108">
        <v>0</v>
      </c>
    </row>
    <row r="20" spans="1:6">
      <c r="A20" s="109" t="s">
        <v>8</v>
      </c>
      <c r="B20" s="119">
        <f>B18-B19</f>
        <v>43760</v>
      </c>
      <c r="C20" s="119">
        <f>C18-C19</f>
        <v>51687</v>
      </c>
      <c r="D20" s="119">
        <f>D18-D19</f>
        <v>56907</v>
      </c>
      <c r="E20" s="119">
        <f>E18-E19</f>
        <v>61997</v>
      </c>
      <c r="F20" s="130">
        <f>F18-F19</f>
        <v>65331</v>
      </c>
    </row>
    <row r="21" spans="1:6">
      <c r="A21" s="105" t="s">
        <v>14</v>
      </c>
      <c r="B21" s="107">
        <v>11198</v>
      </c>
      <c r="C21" s="107">
        <v>13238</v>
      </c>
      <c r="D21" s="107">
        <v>14604</v>
      </c>
      <c r="E21" s="107">
        <v>15898</v>
      </c>
      <c r="F21" s="108">
        <v>16534</v>
      </c>
    </row>
    <row r="22" spans="1:6" ht="16.2">
      <c r="A22" s="114" t="s">
        <v>15</v>
      </c>
      <c r="B22" s="115">
        <f>B20-B21</f>
        <v>32562</v>
      </c>
      <c r="C22" s="115">
        <f>C20-C21</f>
        <v>38449</v>
      </c>
      <c r="D22" s="115">
        <f>D20-D21</f>
        <v>42303</v>
      </c>
      <c r="E22" s="115">
        <f>E20-E21</f>
        <v>46099</v>
      </c>
      <c r="F22" s="116">
        <f>F20-F21</f>
        <v>48797</v>
      </c>
    </row>
    <row r="24" spans="1:6">
      <c r="A24" s="251"/>
      <c r="B24" s="251"/>
      <c r="C24" s="251"/>
      <c r="D24" s="251"/>
      <c r="E24" s="251"/>
      <c r="F24" s="251"/>
    </row>
    <row r="25" spans="1:6" ht="15.6">
      <c r="A25" s="229" t="s">
        <v>142</v>
      </c>
      <c r="B25" s="230"/>
      <c r="C25" s="230"/>
      <c r="D25" s="230"/>
      <c r="E25" s="230"/>
      <c r="F25" s="231"/>
    </row>
    <row r="26" spans="1:6">
      <c r="A26" s="244" t="s">
        <v>116</v>
      </c>
      <c r="B26" s="245"/>
      <c r="C26" s="245"/>
      <c r="D26" s="245"/>
      <c r="E26" s="245"/>
      <c r="F26" s="246"/>
    </row>
    <row r="27" spans="1:6">
      <c r="A27" s="105" t="s">
        <v>115</v>
      </c>
      <c r="B27" s="107">
        <v>32562</v>
      </c>
      <c r="C27" s="107">
        <v>38449</v>
      </c>
      <c r="D27" s="107">
        <v>42303</v>
      </c>
      <c r="E27" s="107">
        <v>46099</v>
      </c>
      <c r="F27" s="108">
        <v>48797</v>
      </c>
    </row>
    <row r="28" spans="1:6">
      <c r="A28" s="105" t="s">
        <v>60</v>
      </c>
      <c r="B28" s="107">
        <v>4065</v>
      </c>
      <c r="C28" s="107">
        <v>4604</v>
      </c>
      <c r="D28" s="107">
        <v>5022</v>
      </c>
      <c r="E28" s="107">
        <v>4985</v>
      </c>
      <c r="F28" s="108">
        <v>5242</v>
      </c>
    </row>
    <row r="29" spans="1:6" ht="28.8">
      <c r="A29" s="117" t="s">
        <v>61</v>
      </c>
      <c r="B29" s="107">
        <v>201</v>
      </c>
      <c r="C29" s="107">
        <v>135</v>
      </c>
      <c r="D29" s="107">
        <v>140</v>
      </c>
      <c r="E29" s="107">
        <v>114</v>
      </c>
      <c r="F29" s="108">
        <v>128</v>
      </c>
    </row>
    <row r="30" spans="1:6">
      <c r="A30" s="105" t="s">
        <v>62</v>
      </c>
      <c r="B30" s="107">
        <v>1218</v>
      </c>
      <c r="C30" s="107">
        <v>0</v>
      </c>
      <c r="D30" s="107">
        <v>0</v>
      </c>
      <c r="E30" s="107">
        <v>0</v>
      </c>
      <c r="F30" s="108">
        <v>0</v>
      </c>
    </row>
    <row r="31" spans="1:6">
      <c r="A31" s="105" t="s">
        <v>63</v>
      </c>
      <c r="B31" s="107">
        <v>11198</v>
      </c>
      <c r="C31" s="107">
        <v>13238</v>
      </c>
      <c r="D31" s="107">
        <v>14604</v>
      </c>
      <c r="E31" s="107">
        <v>15898</v>
      </c>
      <c r="F31" s="108">
        <v>16534</v>
      </c>
    </row>
    <row r="32" spans="1:6">
      <c r="A32" s="105" t="s">
        <v>64</v>
      </c>
      <c r="B32" s="107">
        <v>-100</v>
      </c>
      <c r="C32" s="107">
        <v>-7</v>
      </c>
      <c r="D32" s="107">
        <v>2</v>
      </c>
      <c r="E32" s="107">
        <v>-7</v>
      </c>
      <c r="F32" s="108">
        <v>-15</v>
      </c>
    </row>
    <row r="33" spans="1:8">
      <c r="A33" s="105" t="s">
        <v>65</v>
      </c>
      <c r="B33" s="107">
        <v>0</v>
      </c>
      <c r="C33" s="107">
        <v>9</v>
      </c>
      <c r="D33" s="107">
        <v>0</v>
      </c>
      <c r="E33" s="107">
        <v>0</v>
      </c>
      <c r="F33" s="108">
        <v>0</v>
      </c>
    </row>
    <row r="34" spans="1:8">
      <c r="A34" s="105" t="s">
        <v>66</v>
      </c>
      <c r="B34" s="107">
        <v>-21</v>
      </c>
      <c r="C34" s="107">
        <v>-120</v>
      </c>
      <c r="D34" s="107">
        <v>-189</v>
      </c>
      <c r="E34" s="107">
        <v>-17</v>
      </c>
      <c r="F34" s="108">
        <v>-1</v>
      </c>
    </row>
    <row r="35" spans="1:8">
      <c r="A35" s="105" t="s">
        <v>67</v>
      </c>
      <c r="B35" s="107">
        <v>-13</v>
      </c>
      <c r="C35" s="107">
        <v>-23</v>
      </c>
      <c r="D35" s="107">
        <v>-26</v>
      </c>
      <c r="E35" s="107">
        <v>-7</v>
      </c>
      <c r="F35" s="108">
        <v>-20</v>
      </c>
    </row>
    <row r="36" spans="1:8">
      <c r="A36" s="105" t="s">
        <v>68</v>
      </c>
      <c r="B36" s="107">
        <v>-204</v>
      </c>
      <c r="C36" s="107">
        <v>-198</v>
      </c>
      <c r="D36" s="107">
        <v>-224</v>
      </c>
      <c r="E36" s="107">
        <v>-312</v>
      </c>
      <c r="F36" s="108">
        <v>-269</v>
      </c>
    </row>
    <row r="37" spans="1:8">
      <c r="A37" s="105" t="s">
        <v>69</v>
      </c>
      <c r="B37" s="107">
        <v>-2504</v>
      </c>
      <c r="C37" s="107">
        <v>-2663</v>
      </c>
      <c r="D37" s="107">
        <v>-3248</v>
      </c>
      <c r="E37" s="107">
        <v>-3781</v>
      </c>
      <c r="F37" s="108">
        <v>-3296</v>
      </c>
    </row>
    <row r="38" spans="1:8">
      <c r="A38" s="105" t="s">
        <v>70</v>
      </c>
      <c r="B38" s="107">
        <v>-8</v>
      </c>
      <c r="C38" s="107">
        <v>-4</v>
      </c>
      <c r="D38" s="107">
        <v>-15</v>
      </c>
      <c r="E38" s="107">
        <v>-41</v>
      </c>
      <c r="F38" s="108">
        <v>-43</v>
      </c>
    </row>
    <row r="39" spans="1:8">
      <c r="A39" s="105" t="s">
        <v>71</v>
      </c>
      <c r="B39" s="107">
        <v>637</v>
      </c>
      <c r="C39" s="107">
        <v>784</v>
      </c>
      <c r="D39" s="107">
        <v>779</v>
      </c>
      <c r="E39" s="107">
        <v>778</v>
      </c>
      <c r="F39" s="108">
        <v>796</v>
      </c>
    </row>
    <row r="40" spans="1:8" ht="30.6">
      <c r="A40" s="118" t="s">
        <v>72</v>
      </c>
      <c r="B40" s="110">
        <f>SUM(B27:B39)</f>
        <v>47031</v>
      </c>
      <c r="C40" s="110">
        <f>SUM(C27:C39)</f>
        <v>54204</v>
      </c>
      <c r="D40" s="110">
        <f>SUM(D27:D39)</f>
        <v>59148</v>
      </c>
      <c r="E40" s="110">
        <f>SUM(E27:E39)</f>
        <v>63709</v>
      </c>
      <c r="F40" s="113">
        <f>SUM(F27:F39)</f>
        <v>67853</v>
      </c>
    </row>
    <row r="41" spans="1:8">
      <c r="A41" s="105" t="s">
        <v>121</v>
      </c>
      <c r="B41" s="107">
        <v>-3</v>
      </c>
      <c r="C41" s="107">
        <v>-12</v>
      </c>
      <c r="D41" s="107">
        <v>-8</v>
      </c>
      <c r="E41" s="107">
        <v>0</v>
      </c>
      <c r="F41" s="108">
        <v>7</v>
      </c>
    </row>
    <row r="42" spans="1:8">
      <c r="A42" s="232" t="s">
        <v>25</v>
      </c>
      <c r="B42" s="233"/>
      <c r="C42" s="233"/>
      <c r="D42" s="233"/>
      <c r="E42" s="233"/>
      <c r="F42" s="234"/>
    </row>
    <row r="43" spans="1:8">
      <c r="A43" s="105" t="s">
        <v>73</v>
      </c>
      <c r="B43" s="107">
        <v>1260</v>
      </c>
      <c r="C43" s="107">
        <v>-4210</v>
      </c>
      <c r="D43" s="107">
        <v>-6501</v>
      </c>
      <c r="E43" s="107">
        <v>-3327</v>
      </c>
      <c r="F43" s="108">
        <v>-5519</v>
      </c>
    </row>
    <row r="44" spans="1:8">
      <c r="A44" s="105" t="s">
        <v>74</v>
      </c>
      <c r="B44" s="107">
        <v>-201</v>
      </c>
      <c r="C44" s="107">
        <v>-934</v>
      </c>
      <c r="D44" s="107">
        <v>-1182</v>
      </c>
      <c r="E44" s="107">
        <v>-5</v>
      </c>
      <c r="F44" s="108">
        <v>291</v>
      </c>
    </row>
    <row r="45" spans="1:8">
      <c r="A45" s="117" t="s">
        <v>75</v>
      </c>
      <c r="B45" s="107">
        <v>-17</v>
      </c>
      <c r="C45" s="107">
        <v>-116</v>
      </c>
      <c r="D45" s="107">
        <v>261</v>
      </c>
      <c r="E45" s="107">
        <v>-301</v>
      </c>
      <c r="F45" s="108">
        <v>-738</v>
      </c>
    </row>
    <row r="46" spans="1:8">
      <c r="A46" s="105" t="s">
        <v>31</v>
      </c>
      <c r="B46" s="107">
        <v>-2805</v>
      </c>
      <c r="C46" s="107">
        <v>807</v>
      </c>
      <c r="D46" s="107">
        <v>-25</v>
      </c>
      <c r="E46" s="107">
        <v>-3160</v>
      </c>
      <c r="F46" s="108">
        <v>-2552</v>
      </c>
    </row>
    <row r="47" spans="1:8">
      <c r="A47" s="105" t="s">
        <v>46</v>
      </c>
      <c r="B47" s="107">
        <v>-93</v>
      </c>
      <c r="C47" s="107">
        <v>186</v>
      </c>
      <c r="D47" s="107">
        <v>2036</v>
      </c>
      <c r="E47" s="107">
        <v>-632</v>
      </c>
      <c r="F47" s="108">
        <v>3718</v>
      </c>
    </row>
    <row r="48" spans="1:8">
      <c r="A48" s="105" t="s">
        <v>76</v>
      </c>
      <c r="B48" s="107">
        <v>1091</v>
      </c>
      <c r="C48" s="107">
        <v>-103</v>
      </c>
      <c r="D48" s="107">
        <v>39</v>
      </c>
      <c r="E48" s="107">
        <v>-740</v>
      </c>
      <c r="F48" s="108">
        <v>395</v>
      </c>
      <c r="H48" s="129"/>
    </row>
    <row r="49" spans="1:6">
      <c r="A49" s="105" t="s">
        <v>77</v>
      </c>
      <c r="B49" s="107">
        <v>122</v>
      </c>
      <c r="C49" s="107">
        <v>1153</v>
      </c>
      <c r="D49" s="107">
        <v>1417</v>
      </c>
      <c r="E49" s="107">
        <v>-695</v>
      </c>
      <c r="F49" s="108">
        <v>-119</v>
      </c>
    </row>
    <row r="50" spans="1:6">
      <c r="A50" s="105" t="s">
        <v>78</v>
      </c>
      <c r="B50" s="107">
        <v>1509</v>
      </c>
      <c r="C50" s="107">
        <v>460</v>
      </c>
      <c r="D50" s="107">
        <v>-254</v>
      </c>
      <c r="E50" s="107">
        <v>1978</v>
      </c>
      <c r="F50" s="108">
        <v>1158</v>
      </c>
    </row>
    <row r="51" spans="1:6">
      <c r="A51" s="109" t="s">
        <v>79</v>
      </c>
      <c r="B51" s="119">
        <f>SUM(B40:B50)</f>
        <v>47894</v>
      </c>
      <c r="C51" s="119">
        <f>SUM(C40,C41,C43:C49,C50)</f>
        <v>51435</v>
      </c>
      <c r="D51" s="119">
        <f>SUM(D40,D41,D43:D50)</f>
        <v>54931</v>
      </c>
      <c r="E51" s="119">
        <f>SUM(E40,E41,E43:E50)</f>
        <v>56827</v>
      </c>
      <c r="F51" s="130">
        <f>SUM(F40,F41,F43:F50)</f>
        <v>64494</v>
      </c>
    </row>
    <row r="52" spans="1:6">
      <c r="A52" s="105" t="s">
        <v>80</v>
      </c>
      <c r="B52" s="107">
        <v>-9092</v>
      </c>
      <c r="C52" s="107">
        <v>-11486</v>
      </c>
      <c r="D52" s="107">
        <v>-12966</v>
      </c>
      <c r="E52" s="107">
        <v>-12489</v>
      </c>
      <c r="F52" s="108">
        <v>-15586</v>
      </c>
    </row>
    <row r="53" spans="1:6" ht="16.2">
      <c r="A53" s="109" t="s">
        <v>81</v>
      </c>
      <c r="B53" s="110">
        <f>SUM(B51:B52)</f>
        <v>38802</v>
      </c>
      <c r="C53" s="110">
        <f>C51+C52</f>
        <v>39949</v>
      </c>
      <c r="D53" s="110">
        <f>SUM(D51,D52)</f>
        <v>41965</v>
      </c>
      <c r="E53" s="110">
        <f>SUM(E51,E52)</f>
        <v>44338</v>
      </c>
      <c r="F53" s="113">
        <f>SUM(F51,F52)</f>
        <v>48908</v>
      </c>
    </row>
    <row r="54" spans="1:6">
      <c r="A54" s="247" t="s">
        <v>117</v>
      </c>
      <c r="B54" s="245"/>
      <c r="C54" s="245"/>
      <c r="D54" s="245"/>
      <c r="E54" s="245"/>
      <c r="F54" s="246"/>
    </row>
    <row r="55" spans="1:6">
      <c r="A55" s="105" t="s">
        <v>82</v>
      </c>
      <c r="B55" s="107">
        <v>-6605</v>
      </c>
      <c r="C55" s="107">
        <v>-15947</v>
      </c>
      <c r="D55" s="107">
        <v>-4548</v>
      </c>
      <c r="E55" s="107">
        <v>-9471</v>
      </c>
      <c r="F55" s="108">
        <v>-10496</v>
      </c>
    </row>
    <row r="56" spans="1:6">
      <c r="A56" s="105" t="s">
        <v>83</v>
      </c>
      <c r="B56" s="107">
        <v>-21076</v>
      </c>
      <c r="C56" s="107">
        <v>-14619</v>
      </c>
      <c r="D56" s="107">
        <v>-8293</v>
      </c>
      <c r="E56" s="107">
        <v>0</v>
      </c>
      <c r="F56" s="108">
        <v>0</v>
      </c>
    </row>
    <row r="57" spans="1:6">
      <c r="A57" s="105" t="s">
        <v>84</v>
      </c>
      <c r="B57" s="107">
        <v>-54462</v>
      </c>
      <c r="C57" s="107">
        <v>-75374</v>
      </c>
      <c r="D57" s="107">
        <v>-129745</v>
      </c>
      <c r="E57" s="107">
        <v>-141011</v>
      </c>
      <c r="F57" s="108">
        <v>-145962</v>
      </c>
    </row>
    <row r="58" spans="1:6">
      <c r="A58" s="105" t="s">
        <v>85</v>
      </c>
      <c r="B58" s="107">
        <v>-2719</v>
      </c>
      <c r="C58" s="107">
        <v>-2483</v>
      </c>
      <c r="D58" s="107">
        <v>-2532</v>
      </c>
      <c r="E58" s="107">
        <v>-2202</v>
      </c>
      <c r="F58" s="108">
        <v>-2917</v>
      </c>
    </row>
    <row r="59" spans="1:6" ht="28.8">
      <c r="A59" s="117" t="s">
        <v>86</v>
      </c>
      <c r="B59" s="107">
        <v>-101</v>
      </c>
      <c r="C59" s="107">
        <v>-15</v>
      </c>
      <c r="D59" s="107">
        <v>-213</v>
      </c>
      <c r="E59" s="107">
        <v>-30</v>
      </c>
      <c r="F59" s="108">
        <v>-76</v>
      </c>
    </row>
    <row r="60" spans="1:6">
      <c r="A60" s="105" t="s">
        <v>87</v>
      </c>
      <c r="B60" s="107">
        <v>-356</v>
      </c>
      <c r="C60" s="107">
        <v>-497</v>
      </c>
      <c r="D60" s="107">
        <v>-355</v>
      </c>
      <c r="E60" s="107">
        <v>-442</v>
      </c>
      <c r="F60" s="108">
        <v>-944</v>
      </c>
    </row>
    <row r="61" spans="1:6">
      <c r="A61" s="105" t="s">
        <v>131</v>
      </c>
      <c r="B61" s="107">
        <v>0</v>
      </c>
      <c r="C61" s="107">
        <v>0</v>
      </c>
      <c r="D61" s="107">
        <v>0</v>
      </c>
      <c r="E61" s="107">
        <v>0</v>
      </c>
      <c r="F61" s="108">
        <v>-29</v>
      </c>
    </row>
    <row r="62" spans="1:6">
      <c r="A62" s="105" t="s">
        <v>132</v>
      </c>
      <c r="B62" s="107">
        <v>0</v>
      </c>
      <c r="C62" s="107">
        <v>0</v>
      </c>
      <c r="D62" s="107">
        <v>0</v>
      </c>
      <c r="E62" s="107">
        <v>0</v>
      </c>
      <c r="F62" s="108">
        <v>-1063</v>
      </c>
    </row>
    <row r="63" spans="1:6">
      <c r="A63" s="105" t="s">
        <v>88</v>
      </c>
      <c r="B63" s="107">
        <v>4767</v>
      </c>
      <c r="C63" s="107">
        <v>11950</v>
      </c>
      <c r="D63" s="107">
        <v>6252</v>
      </c>
      <c r="E63" s="107">
        <v>8089</v>
      </c>
      <c r="F63" s="108">
        <v>8177</v>
      </c>
    </row>
    <row r="64" spans="1:6">
      <c r="A64" s="105" t="s">
        <v>89</v>
      </c>
      <c r="B64" s="107">
        <v>18018</v>
      </c>
      <c r="C64" s="107">
        <v>19498</v>
      </c>
      <c r="D64" s="107">
        <v>13654</v>
      </c>
      <c r="E64" s="107">
        <v>846</v>
      </c>
      <c r="F64" s="108">
        <v>170</v>
      </c>
    </row>
    <row r="65" spans="1:7">
      <c r="A65" s="105" t="s">
        <v>90</v>
      </c>
      <c r="B65" s="107">
        <v>51630</v>
      </c>
      <c r="C65" s="107">
        <v>73852</v>
      </c>
      <c r="D65" s="107">
        <v>122687</v>
      </c>
      <c r="E65" s="107">
        <v>147204</v>
      </c>
      <c r="F65" s="108">
        <v>147695</v>
      </c>
    </row>
    <row r="66" spans="1:7">
      <c r="A66" s="105" t="s">
        <v>91</v>
      </c>
      <c r="B66" s="107">
        <v>0</v>
      </c>
      <c r="C66" s="107">
        <v>3</v>
      </c>
      <c r="D66" s="107">
        <v>2</v>
      </c>
      <c r="E66" s="107">
        <v>3</v>
      </c>
      <c r="F66" s="108">
        <v>5</v>
      </c>
    </row>
    <row r="67" spans="1:7">
      <c r="A67" s="105" t="s">
        <v>92</v>
      </c>
      <c r="B67" s="107">
        <v>37</v>
      </c>
      <c r="C67" s="107">
        <v>31</v>
      </c>
      <c r="D67" s="107">
        <v>37</v>
      </c>
      <c r="E67" s="107">
        <v>17</v>
      </c>
      <c r="F67" s="108">
        <v>23</v>
      </c>
    </row>
    <row r="68" spans="1:7">
      <c r="A68" s="105" t="s">
        <v>133</v>
      </c>
      <c r="B68" s="107">
        <v>0</v>
      </c>
      <c r="C68" s="107">
        <v>0</v>
      </c>
      <c r="D68" s="107">
        <v>0</v>
      </c>
      <c r="E68" s="107">
        <v>7</v>
      </c>
      <c r="F68" s="108">
        <v>0</v>
      </c>
    </row>
    <row r="69" spans="1:7">
      <c r="A69" s="105" t="s">
        <v>93</v>
      </c>
      <c r="B69" s="107">
        <v>2730</v>
      </c>
      <c r="C69" s="107">
        <v>2700</v>
      </c>
      <c r="D69" s="107">
        <v>3080</v>
      </c>
      <c r="E69" s="107">
        <v>2990</v>
      </c>
      <c r="F69" s="108">
        <v>3056</v>
      </c>
    </row>
    <row r="70" spans="1:7">
      <c r="A70" s="105" t="s">
        <v>94</v>
      </c>
      <c r="B70" s="107">
        <v>8</v>
      </c>
      <c r="C70" s="107">
        <v>4</v>
      </c>
      <c r="D70" s="107">
        <v>13</v>
      </c>
      <c r="E70" s="107">
        <v>26</v>
      </c>
      <c r="F70" s="108">
        <v>40</v>
      </c>
    </row>
    <row r="71" spans="1:7">
      <c r="A71" s="105" t="s">
        <v>134</v>
      </c>
      <c r="B71" s="107">
        <v>0</v>
      </c>
      <c r="C71" s="107">
        <v>0</v>
      </c>
      <c r="D71" s="107">
        <v>0</v>
      </c>
      <c r="E71" s="107">
        <v>0</v>
      </c>
      <c r="F71" s="108">
        <v>3</v>
      </c>
    </row>
    <row r="72" spans="1:7" ht="16.2">
      <c r="A72" s="109" t="s">
        <v>95</v>
      </c>
      <c r="B72" s="110">
        <f>SUM(B55:B71)</f>
        <v>-8129</v>
      </c>
      <c r="C72" s="110">
        <f>SUM(C55:C71)</f>
        <v>-897</v>
      </c>
      <c r="D72" s="110">
        <f>SUM(D55:D71)</f>
        <v>39</v>
      </c>
      <c r="E72" s="110">
        <f>SUM(E55:E71)</f>
        <v>6026</v>
      </c>
      <c r="F72" s="113">
        <f>SUM(F55:F71)</f>
        <v>-2318</v>
      </c>
    </row>
    <row r="73" spans="1:7">
      <c r="A73" s="247" t="s">
        <v>96</v>
      </c>
      <c r="B73" s="245"/>
      <c r="C73" s="245"/>
      <c r="D73" s="245"/>
      <c r="E73" s="245"/>
      <c r="F73" s="246"/>
      <c r="G73" s="3"/>
    </row>
    <row r="74" spans="1:7">
      <c r="A74" s="105" t="s">
        <v>97</v>
      </c>
      <c r="B74" s="107">
        <v>-1336</v>
      </c>
      <c r="C74" s="107">
        <v>-1417</v>
      </c>
      <c r="D74" s="107">
        <v>-1515</v>
      </c>
      <c r="E74" s="107">
        <v>-1614</v>
      </c>
      <c r="F74" s="108">
        <v>-1664</v>
      </c>
    </row>
    <row r="75" spans="1:7">
      <c r="A75" s="105" t="s">
        <v>98</v>
      </c>
      <c r="B75" s="107">
        <v>-634</v>
      </c>
      <c r="C75" s="107">
        <v>-698</v>
      </c>
      <c r="D75" s="107">
        <v>-779</v>
      </c>
      <c r="E75" s="107">
        <v>-699</v>
      </c>
      <c r="F75" s="108">
        <v>-840</v>
      </c>
    </row>
    <row r="76" spans="1:7">
      <c r="A76" s="105" t="s">
        <v>99</v>
      </c>
      <c r="B76" s="107">
        <v>-10850</v>
      </c>
      <c r="C76" s="107">
        <v>-13317</v>
      </c>
      <c r="D76" s="107">
        <v>-41347</v>
      </c>
      <c r="E76" s="107">
        <v>-25137</v>
      </c>
      <c r="F76" s="108">
        <v>-44864</v>
      </c>
    </row>
    <row r="77" spans="1:7">
      <c r="A77" s="105" t="s">
        <v>100</v>
      </c>
      <c r="B77" s="107">
        <v>-57</v>
      </c>
      <c r="C77" s="107">
        <v>-58</v>
      </c>
      <c r="D77" s="107">
        <v>-63</v>
      </c>
      <c r="E77" s="107">
        <v>-81</v>
      </c>
      <c r="F77" s="108">
        <v>-98</v>
      </c>
    </row>
    <row r="78" spans="1:7">
      <c r="A78" s="117" t="s">
        <v>118</v>
      </c>
      <c r="B78" s="107">
        <v>-160</v>
      </c>
      <c r="C78" s="107">
        <v>-180</v>
      </c>
      <c r="D78" s="107">
        <v>0</v>
      </c>
      <c r="E78" s="107">
        <v>-425</v>
      </c>
      <c r="F78" s="108">
        <v>0</v>
      </c>
    </row>
    <row r="79" spans="1:7">
      <c r="A79" s="105" t="s">
        <v>119</v>
      </c>
      <c r="B79" s="107">
        <v>160</v>
      </c>
      <c r="C79" s="107">
        <v>162</v>
      </c>
      <c r="D79" s="107">
        <v>18</v>
      </c>
      <c r="E79" s="107">
        <v>425</v>
      </c>
      <c r="F79" s="108">
        <v>0</v>
      </c>
    </row>
    <row r="80" spans="1:7">
      <c r="A80" s="105" t="s">
        <v>120</v>
      </c>
      <c r="B80" s="107">
        <v>-31</v>
      </c>
      <c r="C80" s="107">
        <v>-49</v>
      </c>
      <c r="D80" s="107">
        <v>0</v>
      </c>
      <c r="E80" s="107">
        <v>-46</v>
      </c>
      <c r="F80" s="108">
        <v>0</v>
      </c>
    </row>
    <row r="81" spans="1:6">
      <c r="A81" s="105" t="s">
        <v>101</v>
      </c>
      <c r="B81" s="107">
        <v>-3726</v>
      </c>
      <c r="C81" s="107">
        <v>0</v>
      </c>
      <c r="D81" s="107">
        <v>-4192</v>
      </c>
      <c r="E81" s="107">
        <v>-3959</v>
      </c>
      <c r="F81" s="108">
        <v>0</v>
      </c>
    </row>
    <row r="82" spans="1:6">
      <c r="A82" s="105" t="s">
        <v>102</v>
      </c>
      <c r="B82" s="107">
        <v>-16000</v>
      </c>
      <c r="C82" s="107">
        <v>-18000</v>
      </c>
      <c r="D82" s="107">
        <v>0</v>
      </c>
      <c r="E82" s="107">
        <v>-17000</v>
      </c>
      <c r="F82" s="108">
        <v>0</v>
      </c>
    </row>
    <row r="83" spans="1:6" ht="19.2" customHeight="1">
      <c r="A83" s="105" t="s">
        <v>135</v>
      </c>
      <c r="B83" s="107">
        <v>0</v>
      </c>
      <c r="C83" s="107">
        <v>0</v>
      </c>
      <c r="D83" s="107">
        <v>0</v>
      </c>
      <c r="E83" s="107">
        <v>0</v>
      </c>
      <c r="F83" s="108">
        <v>28</v>
      </c>
    </row>
    <row r="84" spans="1:6" ht="28.8" customHeight="1">
      <c r="A84" s="105" t="s">
        <v>103</v>
      </c>
      <c r="B84" s="107">
        <v>0</v>
      </c>
      <c r="C84" s="107">
        <v>-24</v>
      </c>
      <c r="D84" s="107">
        <v>0</v>
      </c>
      <c r="E84" s="107">
        <v>0</v>
      </c>
      <c r="F84" s="108">
        <v>0</v>
      </c>
    </row>
    <row r="85" spans="1:6" ht="16.2">
      <c r="A85" s="109" t="s">
        <v>104</v>
      </c>
      <c r="B85" s="110">
        <f>SUM(B74:B84)</f>
        <v>-32634</v>
      </c>
      <c r="C85" s="110">
        <f>SUM(C74:C84)</f>
        <v>-33581</v>
      </c>
      <c r="D85" s="110">
        <f>SUM(D74:D84)</f>
        <v>-47878</v>
      </c>
      <c r="E85" s="110">
        <f>SUM(E74:E84)</f>
        <v>-48536</v>
      </c>
      <c r="F85" s="113">
        <f>SUM(F74:F84)</f>
        <v>-47438</v>
      </c>
    </row>
    <row r="86" spans="1:6" ht="16.2">
      <c r="A86" s="109" t="s">
        <v>105</v>
      </c>
      <c r="B86" s="110">
        <f>SUM(B72,B53,B85)</f>
        <v>-1961</v>
      </c>
      <c r="C86" s="110">
        <f>SUM(C53,C72,C85)</f>
        <v>5471</v>
      </c>
      <c r="D86" s="110">
        <f>SUM(D53,D72,D85)</f>
        <v>-5874</v>
      </c>
      <c r="E86" s="110">
        <f>SUM(E85,E72,E53)</f>
        <v>1828</v>
      </c>
      <c r="F86" s="113">
        <f>SUM(F85,F72,F53)</f>
        <v>-848</v>
      </c>
    </row>
    <row r="87" spans="1:6">
      <c r="A87" s="105" t="s">
        <v>106</v>
      </c>
      <c r="B87" s="107">
        <v>8646</v>
      </c>
      <c r="C87" s="107">
        <v>6858</v>
      </c>
      <c r="D87" s="107">
        <v>12488</v>
      </c>
      <c r="E87" s="107">
        <v>7123</v>
      </c>
      <c r="F87" s="108">
        <v>9016</v>
      </c>
    </row>
    <row r="88" spans="1:6" ht="28.8">
      <c r="A88" s="117" t="s">
        <v>107</v>
      </c>
      <c r="B88" s="107">
        <v>173</v>
      </c>
      <c r="C88" s="107">
        <v>159</v>
      </c>
      <c r="D88" s="107">
        <v>509</v>
      </c>
      <c r="E88" s="107">
        <v>65</v>
      </c>
      <c r="F88" s="108">
        <v>174</v>
      </c>
    </row>
    <row r="89" spans="1:6" ht="16.2">
      <c r="A89" s="109" t="s">
        <v>108</v>
      </c>
      <c r="B89" s="110">
        <f>SUM(B86:B88)</f>
        <v>6858</v>
      </c>
      <c r="C89" s="110">
        <f>SUM(C86:C88)</f>
        <v>12488</v>
      </c>
      <c r="D89" s="110">
        <f>SUM(D86:D88)</f>
        <v>7123</v>
      </c>
      <c r="E89" s="110">
        <f>SUM(E86:E88)</f>
        <v>9016</v>
      </c>
      <c r="F89" s="113">
        <f>SUM(F86:F88)</f>
        <v>8342</v>
      </c>
    </row>
    <row r="90" spans="1:6">
      <c r="A90" s="235" t="s">
        <v>109</v>
      </c>
      <c r="B90" s="236"/>
      <c r="C90" s="236"/>
      <c r="D90" s="236"/>
      <c r="E90" s="236"/>
      <c r="F90" s="237"/>
    </row>
    <row r="91" spans="1:6">
      <c r="A91" s="105" t="s">
        <v>110</v>
      </c>
      <c r="B91" s="107">
        <v>5266</v>
      </c>
      <c r="C91" s="107">
        <v>2211</v>
      </c>
      <c r="D91" s="107">
        <v>2114</v>
      </c>
      <c r="E91" s="107">
        <v>2804</v>
      </c>
      <c r="F91" s="108">
        <v>3421</v>
      </c>
    </row>
    <row r="92" spans="1:6">
      <c r="A92" s="105" t="s">
        <v>111</v>
      </c>
      <c r="B92" s="107">
        <v>1586</v>
      </c>
      <c r="C92" s="107">
        <v>10277</v>
      </c>
      <c r="D92" s="107">
        <v>4999</v>
      </c>
      <c r="E92" s="107">
        <v>6212</v>
      </c>
      <c r="F92" s="108">
        <v>4907</v>
      </c>
    </row>
    <row r="93" spans="1:6">
      <c r="A93" s="105" t="s">
        <v>112</v>
      </c>
      <c r="B93" s="107">
        <v>0</v>
      </c>
      <c r="C93" s="107" t="s">
        <v>128</v>
      </c>
      <c r="D93" s="107" t="s">
        <v>128</v>
      </c>
      <c r="E93" s="107" t="s">
        <v>128</v>
      </c>
      <c r="F93" s="108" t="s">
        <v>128</v>
      </c>
    </row>
    <row r="94" spans="1:6">
      <c r="A94" s="105" t="s">
        <v>113</v>
      </c>
      <c r="B94" s="107">
        <v>1</v>
      </c>
      <c r="C94" s="107" t="s">
        <v>128</v>
      </c>
      <c r="D94" s="107" t="s">
        <v>128</v>
      </c>
      <c r="E94" s="107" t="s">
        <v>128</v>
      </c>
      <c r="F94" s="108" t="s">
        <v>128</v>
      </c>
    </row>
    <row r="95" spans="1:6">
      <c r="A95" s="105" t="s">
        <v>114</v>
      </c>
      <c r="B95" s="107">
        <v>5</v>
      </c>
      <c r="C95" s="107" t="s">
        <v>128</v>
      </c>
      <c r="D95" s="107">
        <v>10</v>
      </c>
      <c r="E95" s="107" t="s">
        <v>128</v>
      </c>
      <c r="F95" s="108">
        <v>14</v>
      </c>
    </row>
    <row r="96" spans="1:6" ht="16.2">
      <c r="A96" s="105"/>
      <c r="B96" s="110">
        <f>SUM(B91:B95)</f>
        <v>6858</v>
      </c>
      <c r="C96" s="110">
        <f>SUM(C91:C95)</f>
        <v>12488</v>
      </c>
      <c r="D96" s="110">
        <f>SUM(D91:D95)</f>
        <v>7123</v>
      </c>
      <c r="E96" s="110">
        <f>SUM(E91:E95)</f>
        <v>9016</v>
      </c>
      <c r="F96" s="113">
        <f>SUM(F91:F95)</f>
        <v>8342</v>
      </c>
    </row>
    <row r="97" spans="1:8">
      <c r="A97" s="241" t="s">
        <v>136</v>
      </c>
      <c r="B97" s="242"/>
      <c r="C97" s="242"/>
      <c r="D97" s="242"/>
      <c r="E97" s="242"/>
      <c r="F97" s="243"/>
    </row>
    <row r="98" spans="1:8">
      <c r="A98" s="252"/>
      <c r="B98" s="252"/>
      <c r="C98" s="252"/>
      <c r="D98" s="252"/>
      <c r="E98" s="252"/>
      <c r="F98" s="252"/>
    </row>
    <row r="99" spans="1:8" ht="15.6">
      <c r="A99" s="229" t="s">
        <v>143</v>
      </c>
      <c r="B99" s="230"/>
      <c r="C99" s="230"/>
      <c r="D99" s="230"/>
      <c r="E99" s="230"/>
      <c r="F99" s="231"/>
    </row>
    <row r="100" spans="1:8">
      <c r="A100" s="248" t="s">
        <v>16</v>
      </c>
      <c r="B100" s="249"/>
      <c r="C100" s="249"/>
      <c r="D100" s="249"/>
      <c r="E100" s="249"/>
      <c r="F100" s="250"/>
    </row>
    <row r="101" spans="1:8">
      <c r="A101" s="223" t="s">
        <v>22</v>
      </c>
      <c r="B101" s="224"/>
      <c r="C101" s="224"/>
      <c r="D101" s="224"/>
      <c r="E101" s="224"/>
      <c r="F101" s="225"/>
    </row>
    <row r="102" spans="1:8">
      <c r="A102" s="105" t="s">
        <v>18</v>
      </c>
      <c r="B102" s="107">
        <v>11110</v>
      </c>
      <c r="C102" s="107">
        <v>10774</v>
      </c>
      <c r="D102" s="107">
        <v>10230</v>
      </c>
      <c r="E102" s="107">
        <v>9376</v>
      </c>
      <c r="F102" s="108">
        <v>10978</v>
      </c>
    </row>
    <row r="103" spans="1:8">
      <c r="A103" s="105" t="s">
        <v>33</v>
      </c>
      <c r="B103" s="107">
        <v>926</v>
      </c>
      <c r="C103" s="107">
        <v>1205</v>
      </c>
      <c r="D103" s="107">
        <v>1234</v>
      </c>
      <c r="E103" s="107">
        <v>1564</v>
      </c>
      <c r="F103" s="108">
        <v>1546</v>
      </c>
      <c r="H103" s="129"/>
    </row>
    <row r="104" spans="1:8">
      <c r="A104" s="105" t="s">
        <v>34</v>
      </c>
      <c r="B104" s="107">
        <v>7633</v>
      </c>
      <c r="C104" s="107">
        <v>7636</v>
      </c>
      <c r="D104" s="107">
        <v>7560</v>
      </c>
      <c r="E104" s="107">
        <v>7886</v>
      </c>
      <c r="F104" s="108">
        <v>9275</v>
      </c>
    </row>
    <row r="105" spans="1:8">
      <c r="A105" s="105" t="s">
        <v>19</v>
      </c>
      <c r="B105" s="107">
        <v>1798</v>
      </c>
      <c r="C105" s="107">
        <v>1787</v>
      </c>
      <c r="D105" s="107">
        <v>1858</v>
      </c>
      <c r="E105" s="107">
        <v>1832</v>
      </c>
      <c r="F105" s="108">
        <v>1860</v>
      </c>
    </row>
    <row r="106" spans="1:8">
      <c r="A106" s="105" t="s">
        <v>20</v>
      </c>
      <c r="B106" s="107">
        <v>480</v>
      </c>
      <c r="C106" s="107">
        <v>1101</v>
      </c>
      <c r="D106" s="107">
        <v>867</v>
      </c>
      <c r="E106" s="107">
        <v>510</v>
      </c>
      <c r="F106" s="108">
        <v>940</v>
      </c>
    </row>
    <row r="107" spans="1:8">
      <c r="A107" s="238" t="s">
        <v>23</v>
      </c>
      <c r="B107" s="239"/>
      <c r="C107" s="239"/>
      <c r="D107" s="239"/>
      <c r="E107" s="239"/>
      <c r="F107" s="240"/>
    </row>
    <row r="108" spans="1:8">
      <c r="A108" s="105" t="s">
        <v>24</v>
      </c>
      <c r="B108" s="107">
        <v>213</v>
      </c>
      <c r="C108" s="107">
        <v>223</v>
      </c>
      <c r="D108" s="107">
        <v>266</v>
      </c>
      <c r="E108" s="107">
        <v>281</v>
      </c>
      <c r="F108" s="108">
        <v>275</v>
      </c>
    </row>
    <row r="109" spans="1:8">
      <c r="A109" s="105" t="s">
        <v>129</v>
      </c>
      <c r="B109" s="107">
        <v>55</v>
      </c>
      <c r="C109" s="107">
        <v>145</v>
      </c>
      <c r="D109" s="107">
        <v>149</v>
      </c>
      <c r="E109" s="107">
        <v>127</v>
      </c>
      <c r="F109" s="108">
        <v>91</v>
      </c>
    </row>
    <row r="110" spans="1:8">
      <c r="A110" s="105" t="s">
        <v>130</v>
      </c>
      <c r="B110" s="107">
        <v>273</v>
      </c>
      <c r="C110" s="107">
        <v>55</v>
      </c>
      <c r="D110" s="107">
        <v>199</v>
      </c>
      <c r="E110" s="107">
        <v>16</v>
      </c>
      <c r="F110" s="108">
        <v>38</v>
      </c>
    </row>
    <row r="111" spans="1:8">
      <c r="A111" s="105" t="s">
        <v>28</v>
      </c>
      <c r="B111" s="107">
        <v>29</v>
      </c>
      <c r="C111" s="107">
        <v>311</v>
      </c>
      <c r="D111" s="107">
        <v>173</v>
      </c>
      <c r="E111" s="107">
        <v>2</v>
      </c>
      <c r="F111" s="108">
        <v>25</v>
      </c>
    </row>
    <row r="112" spans="1:8">
      <c r="A112" s="105" t="s">
        <v>29</v>
      </c>
      <c r="B112" s="107">
        <v>1573</v>
      </c>
      <c r="C112" s="107">
        <v>2253</v>
      </c>
      <c r="D112" s="107">
        <v>2149</v>
      </c>
      <c r="E112" s="107">
        <v>3272</v>
      </c>
      <c r="F112" s="108">
        <v>2731</v>
      </c>
    </row>
    <row r="113" spans="1:6">
      <c r="A113" s="105" t="s">
        <v>30</v>
      </c>
      <c r="B113" s="107">
        <v>1845</v>
      </c>
      <c r="C113" s="107">
        <v>1983</v>
      </c>
      <c r="D113" s="107">
        <v>2583</v>
      </c>
      <c r="E113" s="107">
        <v>1600</v>
      </c>
      <c r="F113" s="108">
        <v>1569</v>
      </c>
    </row>
    <row r="114" spans="1:6">
      <c r="A114" s="105" t="s">
        <v>35</v>
      </c>
      <c r="B114" s="107">
        <v>3931</v>
      </c>
      <c r="C114" s="107">
        <v>3708</v>
      </c>
      <c r="D114" s="107">
        <v>3307</v>
      </c>
      <c r="E114" s="107">
        <v>3403</v>
      </c>
      <c r="F114" s="108">
        <v>3578</v>
      </c>
    </row>
    <row r="115" spans="1:6">
      <c r="A115" s="105" t="s">
        <v>31</v>
      </c>
      <c r="B115" s="107">
        <v>1613</v>
      </c>
      <c r="C115" s="107">
        <v>2023</v>
      </c>
      <c r="D115" s="107">
        <v>2806</v>
      </c>
      <c r="E115" s="107">
        <v>3596</v>
      </c>
      <c r="F115" s="108">
        <v>3712</v>
      </c>
    </row>
    <row r="116" spans="1:6" ht="16.2">
      <c r="A116" s="109" t="s">
        <v>36</v>
      </c>
      <c r="B116" s="110">
        <f>SUM(B102:B106,B108:B115)</f>
        <v>31479</v>
      </c>
      <c r="C116" s="110">
        <f>SUM(C102:C106,C108:C115)</f>
        <v>33204</v>
      </c>
      <c r="D116" s="110">
        <f>SUM(D102:D106,D108:D115)</f>
        <v>33381</v>
      </c>
      <c r="E116" s="110">
        <f>SUM(E102:E106,E108:E115)</f>
        <v>33465</v>
      </c>
      <c r="F116" s="113">
        <f>SUM(F102:F106,F108:F115)</f>
        <v>36618</v>
      </c>
    </row>
    <row r="117" spans="1:6">
      <c r="A117" s="223" t="s">
        <v>21</v>
      </c>
      <c r="B117" s="224"/>
      <c r="C117" s="224"/>
      <c r="D117" s="224"/>
      <c r="E117" s="224"/>
      <c r="F117" s="225"/>
    </row>
    <row r="118" spans="1:6">
      <c r="A118" s="105" t="s">
        <v>17</v>
      </c>
      <c r="B118" s="107">
        <v>8</v>
      </c>
      <c r="C118" s="107">
        <v>20</v>
      </c>
      <c r="D118" s="107">
        <v>28</v>
      </c>
      <c r="E118" s="107">
        <v>28</v>
      </c>
      <c r="F118" s="108">
        <v>21</v>
      </c>
    </row>
    <row r="119" spans="1:6">
      <c r="A119" s="238" t="s">
        <v>23</v>
      </c>
      <c r="B119" s="239"/>
      <c r="C119" s="239"/>
      <c r="D119" s="239"/>
      <c r="E119" s="239"/>
      <c r="F119" s="240"/>
    </row>
    <row r="120" spans="1:6">
      <c r="A120" s="105" t="s">
        <v>24</v>
      </c>
      <c r="B120" s="107">
        <v>29160</v>
      </c>
      <c r="C120" s="107">
        <v>30262</v>
      </c>
      <c r="D120" s="107">
        <v>36897</v>
      </c>
      <c r="E120" s="107">
        <v>31481</v>
      </c>
      <c r="F120" s="108">
        <v>30689</v>
      </c>
    </row>
    <row r="121" spans="1:6">
      <c r="A121" s="105" t="s">
        <v>137</v>
      </c>
      <c r="B121" s="107">
        <v>30079</v>
      </c>
      <c r="C121" s="107">
        <v>34074</v>
      </c>
      <c r="D121" s="107">
        <v>41049</v>
      </c>
      <c r="E121" s="107">
        <v>44434</v>
      </c>
      <c r="F121" s="108">
        <v>50142</v>
      </c>
    </row>
    <row r="122" spans="1:6">
      <c r="A122" s="105" t="s">
        <v>138</v>
      </c>
      <c r="B122" s="107">
        <v>6583</v>
      </c>
      <c r="C122" s="107">
        <v>7736</v>
      </c>
      <c r="D122" s="107">
        <v>8905</v>
      </c>
      <c r="E122" s="107">
        <v>9143</v>
      </c>
      <c r="F122" s="108">
        <v>8904</v>
      </c>
    </row>
    <row r="123" spans="1:6">
      <c r="A123" s="105" t="s">
        <v>26</v>
      </c>
      <c r="B123" s="107">
        <v>6858</v>
      </c>
      <c r="C123" s="107">
        <v>12488</v>
      </c>
      <c r="D123" s="107">
        <v>7123</v>
      </c>
      <c r="E123" s="107">
        <v>9016</v>
      </c>
      <c r="F123" s="108">
        <v>8342</v>
      </c>
    </row>
    <row r="124" spans="1:6">
      <c r="A124" s="105" t="s">
        <v>27</v>
      </c>
      <c r="B124" s="107">
        <v>2471</v>
      </c>
      <c r="C124" s="107">
        <v>5733</v>
      </c>
      <c r="D124" s="107">
        <v>3909</v>
      </c>
      <c r="E124" s="107">
        <v>4270</v>
      </c>
      <c r="F124" s="108">
        <v>7121</v>
      </c>
    </row>
    <row r="125" spans="1:6">
      <c r="A125" s="105" t="s">
        <v>28</v>
      </c>
      <c r="B125" s="107">
        <v>11472</v>
      </c>
      <c r="C125" s="107">
        <v>6445</v>
      </c>
      <c r="D125" s="107">
        <v>1325</v>
      </c>
      <c r="E125" s="107">
        <v>491</v>
      </c>
      <c r="F125" s="108">
        <v>9</v>
      </c>
    </row>
    <row r="126" spans="1:6">
      <c r="A126" s="105" t="s">
        <v>29</v>
      </c>
      <c r="B126" s="107">
        <v>1394</v>
      </c>
      <c r="C126" s="107">
        <v>1390</v>
      </c>
      <c r="D126" s="107">
        <v>1319</v>
      </c>
      <c r="E126" s="107">
        <v>1703</v>
      </c>
      <c r="F126" s="108">
        <v>2742</v>
      </c>
    </row>
    <row r="127" spans="1:6">
      <c r="A127" s="105" t="s">
        <v>30</v>
      </c>
      <c r="B127" s="107">
        <v>19</v>
      </c>
      <c r="C127" s="107">
        <v>11</v>
      </c>
      <c r="D127" s="107">
        <v>8</v>
      </c>
      <c r="E127" s="107">
        <v>151</v>
      </c>
      <c r="F127" s="108">
        <v>257</v>
      </c>
    </row>
    <row r="128" spans="1:6">
      <c r="A128" s="105" t="s">
        <v>31</v>
      </c>
      <c r="B128" s="107">
        <v>11236</v>
      </c>
      <c r="C128" s="107">
        <v>10151</v>
      </c>
      <c r="D128" s="107">
        <v>9707</v>
      </c>
      <c r="E128" s="107">
        <v>12267</v>
      </c>
      <c r="F128" s="108">
        <v>14784</v>
      </c>
    </row>
    <row r="129" spans="1:6" ht="16.2">
      <c r="A129" s="109" t="s">
        <v>32</v>
      </c>
      <c r="B129" s="110">
        <f>SUM(B118,B120:B128)</f>
        <v>99280</v>
      </c>
      <c r="C129" s="110">
        <f>SUM(C118,C120:C128)</f>
        <v>108310</v>
      </c>
      <c r="D129" s="110">
        <f>SUM(D118,D120:D128)</f>
        <v>110270</v>
      </c>
      <c r="E129" s="110">
        <f>SUM(E118,E120:E128)</f>
        <v>112984</v>
      </c>
      <c r="F129" s="113">
        <f>SUM(F118,F120:F128)</f>
        <v>123011</v>
      </c>
    </row>
    <row r="130" spans="1:6" ht="16.2">
      <c r="A130" s="109" t="s">
        <v>5</v>
      </c>
      <c r="B130" s="110">
        <f>SUM(B116,B129)</f>
        <v>130759</v>
      </c>
      <c r="C130" s="110">
        <f>SUM(C116,C129)</f>
        <v>141514</v>
      </c>
      <c r="D130" s="110">
        <f>SUM(D116,D129)</f>
        <v>143651</v>
      </c>
      <c r="E130" s="110">
        <f>SUM(E116,E129)</f>
        <v>146449</v>
      </c>
      <c r="F130" s="113">
        <f>SUM(F116,F129)</f>
        <v>159629</v>
      </c>
    </row>
    <row r="131" spans="1:6">
      <c r="A131" s="248" t="s">
        <v>51</v>
      </c>
      <c r="B131" s="249"/>
      <c r="C131" s="249"/>
      <c r="D131" s="249"/>
      <c r="E131" s="249"/>
      <c r="F131" s="250"/>
    </row>
    <row r="132" spans="1:6">
      <c r="A132" s="248" t="s">
        <v>52</v>
      </c>
      <c r="B132" s="249"/>
      <c r="C132" s="249"/>
      <c r="D132" s="249"/>
      <c r="E132" s="249"/>
      <c r="F132" s="250"/>
    </row>
    <row r="133" spans="1:6">
      <c r="A133" s="105" t="s">
        <v>53</v>
      </c>
      <c r="B133" s="107">
        <v>370</v>
      </c>
      <c r="C133" s="107">
        <v>366</v>
      </c>
      <c r="D133" s="107">
        <v>366</v>
      </c>
      <c r="E133" s="107">
        <v>362</v>
      </c>
      <c r="F133" s="108">
        <v>362</v>
      </c>
    </row>
    <row r="134" spans="1:6">
      <c r="A134" s="105" t="s">
        <v>54</v>
      </c>
      <c r="B134" s="107">
        <v>86063</v>
      </c>
      <c r="C134" s="107">
        <v>88773</v>
      </c>
      <c r="D134" s="107">
        <v>90058</v>
      </c>
      <c r="E134" s="107">
        <v>90127</v>
      </c>
      <c r="F134" s="108">
        <v>94394</v>
      </c>
    </row>
    <row r="135" spans="1:6">
      <c r="A135" s="105" t="s">
        <v>55</v>
      </c>
      <c r="B135" s="107">
        <v>675</v>
      </c>
      <c r="C135" s="107">
        <v>707</v>
      </c>
      <c r="D135" s="107">
        <v>782</v>
      </c>
      <c r="E135" s="107">
        <v>830</v>
      </c>
      <c r="F135" s="108">
        <v>1015</v>
      </c>
    </row>
    <row r="136" spans="1:6" ht="16.2">
      <c r="A136" s="109" t="s">
        <v>56</v>
      </c>
      <c r="B136" s="110">
        <f>SUM(B133:B135)</f>
        <v>87108</v>
      </c>
      <c r="C136" s="110">
        <f>SUM(C133:C135)</f>
        <v>89846</v>
      </c>
      <c r="D136" s="110">
        <f>SUM(D133:D135)</f>
        <v>91206</v>
      </c>
      <c r="E136" s="110">
        <f>SUM(E133:E135)</f>
        <v>91319</v>
      </c>
      <c r="F136" s="113">
        <f>SUM(F133:F135)</f>
        <v>95771</v>
      </c>
    </row>
    <row r="137" spans="1:6">
      <c r="A137" s="253" t="s">
        <v>57</v>
      </c>
      <c r="B137" s="254"/>
      <c r="C137" s="254"/>
      <c r="D137" s="254"/>
      <c r="E137" s="254"/>
      <c r="F137" s="255"/>
    </row>
    <row r="138" spans="1:6">
      <c r="A138" s="214" t="s">
        <v>37</v>
      </c>
      <c r="B138" s="215"/>
      <c r="C138" s="215"/>
      <c r="D138" s="215"/>
      <c r="E138" s="215"/>
      <c r="F138" s="216"/>
    </row>
    <row r="139" spans="1:6">
      <c r="A139" s="220" t="s">
        <v>38</v>
      </c>
      <c r="B139" s="221"/>
      <c r="C139" s="221"/>
      <c r="D139" s="221"/>
      <c r="E139" s="221"/>
      <c r="F139" s="222"/>
    </row>
    <row r="140" spans="1:6">
      <c r="A140" s="120" t="s">
        <v>39</v>
      </c>
      <c r="B140" s="121">
        <v>6503</v>
      </c>
      <c r="C140" s="121">
        <v>6368</v>
      </c>
      <c r="D140" s="121">
        <v>6203</v>
      </c>
      <c r="E140" s="121">
        <v>6516</v>
      </c>
      <c r="F140" s="122">
        <v>7838</v>
      </c>
    </row>
    <row r="141" spans="1:6">
      <c r="A141" s="120" t="s">
        <v>40</v>
      </c>
      <c r="B141" s="121">
        <v>280</v>
      </c>
      <c r="C141" s="121">
        <v>572</v>
      </c>
      <c r="D141" s="121">
        <v>353</v>
      </c>
      <c r="E141" s="121">
        <v>365</v>
      </c>
      <c r="F141" s="122">
        <v>680</v>
      </c>
    </row>
    <row r="142" spans="1:6">
      <c r="A142" s="120" t="s">
        <v>41</v>
      </c>
      <c r="B142" s="121">
        <v>1197</v>
      </c>
      <c r="C142" s="121">
        <v>1110</v>
      </c>
      <c r="D142" s="121">
        <v>1003</v>
      </c>
      <c r="E142" s="121">
        <v>482</v>
      </c>
      <c r="F142" s="122">
        <v>518</v>
      </c>
    </row>
    <row r="143" spans="1:6">
      <c r="A143" s="120" t="s">
        <v>42</v>
      </c>
      <c r="B143" s="121">
        <v>749</v>
      </c>
      <c r="C143" s="121">
        <v>677</v>
      </c>
      <c r="D143" s="121">
        <v>536</v>
      </c>
      <c r="E143" s="121">
        <v>686</v>
      </c>
      <c r="F143" s="122">
        <v>841</v>
      </c>
    </row>
    <row r="144" spans="1:6">
      <c r="A144" s="120" t="s">
        <v>43</v>
      </c>
      <c r="B144" s="121">
        <v>767</v>
      </c>
      <c r="C144" s="121">
        <v>590</v>
      </c>
      <c r="D144" s="121">
        <v>792</v>
      </c>
      <c r="E144" s="121">
        <v>977</v>
      </c>
      <c r="F144" s="122">
        <v>980</v>
      </c>
    </row>
    <row r="145" spans="1:9" ht="16.2">
      <c r="A145" s="123" t="s">
        <v>44</v>
      </c>
      <c r="B145" s="124">
        <f>SUM(B140:B144)</f>
        <v>9496</v>
      </c>
      <c r="C145" s="124">
        <f>SUM(C140:C144)</f>
        <v>9317</v>
      </c>
      <c r="D145" s="124">
        <f>SUM(D140:D144)</f>
        <v>8887</v>
      </c>
      <c r="E145" s="124">
        <f>SUM(E140:E144)</f>
        <v>9026</v>
      </c>
      <c r="F145" s="125">
        <f>SUM(F140:F144)</f>
        <v>10857</v>
      </c>
    </row>
    <row r="146" spans="1:9">
      <c r="A146" s="214" t="s">
        <v>45</v>
      </c>
      <c r="B146" s="215"/>
      <c r="C146" s="215"/>
      <c r="D146" s="215"/>
      <c r="E146" s="215"/>
      <c r="F146" s="216"/>
    </row>
    <row r="147" spans="1:9">
      <c r="A147" s="220" t="s">
        <v>38</v>
      </c>
      <c r="B147" s="221"/>
      <c r="C147" s="221"/>
      <c r="D147" s="221"/>
      <c r="E147" s="221"/>
      <c r="F147" s="222"/>
    </row>
    <row r="148" spans="1:9">
      <c r="A148" s="120" t="s">
        <v>39</v>
      </c>
      <c r="B148" s="121">
        <v>1292</v>
      </c>
      <c r="C148" s="121">
        <v>1450</v>
      </c>
      <c r="D148" s="121">
        <v>1485</v>
      </c>
      <c r="E148" s="121">
        <v>1505</v>
      </c>
      <c r="F148" s="122">
        <v>1554</v>
      </c>
    </row>
    <row r="149" spans="1:9">
      <c r="A149" s="120" t="s">
        <v>46</v>
      </c>
      <c r="B149" s="121">
        <v>7860</v>
      </c>
      <c r="C149" s="121">
        <v>8045</v>
      </c>
      <c r="D149" s="121">
        <v>10515</v>
      </c>
      <c r="E149" s="121">
        <v>9981</v>
      </c>
      <c r="F149" s="122">
        <v>13909</v>
      </c>
    </row>
    <row r="150" spans="1:9">
      <c r="A150" s="120" t="s">
        <v>40</v>
      </c>
      <c r="B150" s="121">
        <v>6150</v>
      </c>
      <c r="C150" s="121">
        <v>7687</v>
      </c>
      <c r="D150" s="121">
        <v>9068</v>
      </c>
      <c r="E150" s="121">
        <v>8362</v>
      </c>
      <c r="F150" s="122">
        <v>8542</v>
      </c>
    </row>
    <row r="151" spans="1:9">
      <c r="A151" s="120" t="s">
        <v>41</v>
      </c>
      <c r="B151" s="121">
        <v>3650</v>
      </c>
      <c r="C151" s="121">
        <v>3635</v>
      </c>
      <c r="D151" s="121">
        <v>3843</v>
      </c>
      <c r="E151" s="121">
        <v>3640</v>
      </c>
      <c r="F151" s="122">
        <v>4028</v>
      </c>
      <c r="I151" s="101"/>
    </row>
    <row r="152" spans="1:9">
      <c r="A152" s="120" t="s">
        <v>47</v>
      </c>
      <c r="B152" s="121">
        <v>4068</v>
      </c>
      <c r="C152" s="121">
        <v>8392</v>
      </c>
      <c r="D152" s="121">
        <v>4892</v>
      </c>
      <c r="E152" s="121">
        <v>6524</v>
      </c>
      <c r="F152" s="122">
        <v>7188</v>
      </c>
    </row>
    <row r="153" spans="1:9">
      <c r="A153" s="120" t="s">
        <v>48</v>
      </c>
      <c r="B153" s="121">
        <v>1394</v>
      </c>
      <c r="C153" s="121">
        <v>1411</v>
      </c>
      <c r="D153" s="121">
        <v>345</v>
      </c>
      <c r="E153" s="121">
        <v>140</v>
      </c>
      <c r="F153" s="122">
        <v>180</v>
      </c>
    </row>
    <row r="154" spans="1:9">
      <c r="A154" s="120" t="s">
        <v>42</v>
      </c>
      <c r="B154" s="121">
        <v>3498</v>
      </c>
      <c r="C154" s="121">
        <v>3810</v>
      </c>
      <c r="D154" s="121">
        <v>4065</v>
      </c>
      <c r="E154" s="121">
        <v>4519</v>
      </c>
      <c r="F154" s="122">
        <v>4885</v>
      </c>
    </row>
    <row r="155" spans="1:9">
      <c r="A155" s="120" t="s">
        <v>49</v>
      </c>
      <c r="B155" s="121">
        <v>6243</v>
      </c>
      <c r="C155" s="121">
        <v>7921</v>
      </c>
      <c r="D155" s="121">
        <v>9345</v>
      </c>
      <c r="E155" s="121">
        <v>11433</v>
      </c>
      <c r="F155" s="122">
        <v>12715</v>
      </c>
    </row>
    <row r="156" spans="1:9" ht="16.2">
      <c r="A156" s="123" t="s">
        <v>50</v>
      </c>
      <c r="B156" s="124">
        <f>SUM(B148:B155)</f>
        <v>34155</v>
      </c>
      <c r="C156" s="124">
        <f>SUM(C148:C155)</f>
        <v>42351</v>
      </c>
      <c r="D156" s="124">
        <f>SUM(D148:D155)</f>
        <v>43558</v>
      </c>
      <c r="E156" s="124">
        <f>SUM(E148:E155)</f>
        <v>46104</v>
      </c>
      <c r="F156" s="125">
        <f>SUM(F148:F155)</f>
        <v>53001</v>
      </c>
    </row>
    <row r="157" spans="1:9" ht="16.2">
      <c r="A157" s="126" t="s">
        <v>58</v>
      </c>
      <c r="B157" s="127">
        <f>SUM(B156,B145,B136)</f>
        <v>130759</v>
      </c>
      <c r="C157" s="127">
        <f>SUM(C156,C145,C136)</f>
        <v>141514</v>
      </c>
      <c r="D157" s="127">
        <f>SUM(D156,D145,D136)</f>
        <v>143651</v>
      </c>
      <c r="E157" s="127">
        <f>SUM(E156,E145,E136)</f>
        <v>146449</v>
      </c>
      <c r="F157" s="128">
        <f>SUM(F156,F145,F136)</f>
        <v>159629</v>
      </c>
    </row>
  </sheetData>
  <mergeCells count="28">
    <mergeCell ref="A3:F3"/>
    <mergeCell ref="A1:F2"/>
    <mergeCell ref="A5:F5"/>
    <mergeCell ref="A100:F100"/>
    <mergeCell ref="A101:F101"/>
    <mergeCell ref="A119:F119"/>
    <mergeCell ref="A24:F24"/>
    <mergeCell ref="A98:F98"/>
    <mergeCell ref="A132:F132"/>
    <mergeCell ref="A137:F137"/>
    <mergeCell ref="A73:F73"/>
    <mergeCell ref="A99:F99"/>
    <mergeCell ref="A138:F138"/>
    <mergeCell ref="A6:F6"/>
    <mergeCell ref="A146:F146"/>
    <mergeCell ref="A139:F139"/>
    <mergeCell ref="A147:F147"/>
    <mergeCell ref="A117:F117"/>
    <mergeCell ref="A10:F10"/>
    <mergeCell ref="A17:F17"/>
    <mergeCell ref="A25:F25"/>
    <mergeCell ref="A42:F42"/>
    <mergeCell ref="A90:F90"/>
    <mergeCell ref="A107:F107"/>
    <mergeCell ref="A97:F97"/>
    <mergeCell ref="A26:F26"/>
    <mergeCell ref="A54:F54"/>
    <mergeCell ref="A131:F131"/>
  </mergeCells>
  <phoneticPr fontId="3" type="noConversion"/>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574F-3E3A-41A1-A2B2-4E966D3E716A}">
  <sheetPr>
    <tabColor theme="3" tint="0.249977111117893"/>
  </sheetPr>
  <dimension ref="A1:L101"/>
  <sheetViews>
    <sheetView topLeftCell="A36" zoomScale="115" zoomScaleNormal="115" workbookViewId="0">
      <selection activeCell="A3" sqref="A3"/>
    </sheetView>
  </sheetViews>
  <sheetFormatPr defaultRowHeight="14.4"/>
  <cols>
    <col min="1" max="1" width="33.109375" bestFit="1" customWidth="1"/>
    <col min="2" max="6" width="12.5546875" bestFit="1" customWidth="1"/>
    <col min="8" max="8" width="27.77734375" bestFit="1" customWidth="1"/>
  </cols>
  <sheetData>
    <row r="1" spans="1:8" ht="21">
      <c r="A1" s="263" t="s">
        <v>385</v>
      </c>
      <c r="B1" s="263"/>
      <c r="C1" s="263"/>
      <c r="D1" s="263"/>
      <c r="E1" s="263"/>
      <c r="F1" s="263"/>
    </row>
    <row r="2" spans="1:8" ht="15.6">
      <c r="A2" s="262" t="s">
        <v>144</v>
      </c>
      <c r="B2" s="262"/>
      <c r="C2" s="262"/>
      <c r="D2" s="262"/>
      <c r="E2" s="262"/>
      <c r="F2" s="262"/>
    </row>
    <row r="3" spans="1:8">
      <c r="A3" s="57" t="s">
        <v>390</v>
      </c>
      <c r="B3" s="58" t="s">
        <v>145</v>
      </c>
      <c r="C3" s="58" t="s">
        <v>146</v>
      </c>
      <c r="D3" s="58" t="s">
        <v>147</v>
      </c>
      <c r="E3" s="58" t="s">
        <v>148</v>
      </c>
      <c r="F3" s="59" t="s">
        <v>149</v>
      </c>
    </row>
    <row r="4" spans="1:8">
      <c r="A4" s="53" t="s">
        <v>150</v>
      </c>
      <c r="B4" s="8">
        <f>'HISTORICAL FINANCIALS'!B7</f>
        <v>164177</v>
      </c>
      <c r="C4" s="8">
        <f>'HISTORICAL FINANCIALS'!C7</f>
        <v>191754</v>
      </c>
      <c r="D4" s="8">
        <f>'HISTORICAL FINANCIALS'!D7</f>
        <v>225458</v>
      </c>
      <c r="E4" s="8">
        <f>'HISTORICAL FINANCIALS'!E7</f>
        <v>240893</v>
      </c>
      <c r="F4" s="55">
        <f>'HISTORICAL FINANCIALS'!F7</f>
        <v>255324</v>
      </c>
    </row>
    <row r="5" spans="1:8">
      <c r="A5" s="54" t="s">
        <v>151</v>
      </c>
      <c r="B5" s="9" t="s">
        <v>154</v>
      </c>
      <c r="C5" s="10">
        <f>C4/B4-1</f>
        <v>0.1679711530847805</v>
      </c>
      <c r="D5" s="10">
        <f t="shared" ref="D5:F5" si="0">D4/C4-1</f>
        <v>0.17576686796624852</v>
      </c>
      <c r="E5" s="10">
        <f t="shared" si="0"/>
        <v>6.8460644554639849E-2</v>
      </c>
      <c r="F5" s="56">
        <f t="shared" si="0"/>
        <v>5.9906265437351891E-2</v>
      </c>
      <c r="G5" s="22"/>
    </row>
    <row r="6" spans="1:8">
      <c r="A6" s="53" t="s">
        <v>152</v>
      </c>
      <c r="B6" s="8">
        <f>'HISTORICAL FINANCIALS'!B8</f>
        <v>3134</v>
      </c>
      <c r="C6" s="8">
        <f>'HISTORICAL FINANCIALS'!C8</f>
        <v>4018</v>
      </c>
      <c r="D6" s="8">
        <f>'HISTORICAL FINANCIALS'!D8</f>
        <v>3449</v>
      </c>
      <c r="E6" s="8">
        <f>'HISTORICAL FINANCIALS'!E8</f>
        <v>4422</v>
      </c>
      <c r="F6" s="55">
        <f>'HISTORICAL FINANCIALS'!F8</f>
        <v>3962</v>
      </c>
    </row>
    <row r="7" spans="1:8">
      <c r="A7" s="53" t="s">
        <v>140</v>
      </c>
      <c r="B7" s="8">
        <f>'HISTORICAL FINANCIALS'!B9</f>
        <v>167311</v>
      </c>
      <c r="C7" s="8">
        <f>'HISTORICAL FINANCIALS'!C9</f>
        <v>195772</v>
      </c>
      <c r="D7" s="8">
        <f>'HISTORICAL FINANCIALS'!D9</f>
        <v>228907</v>
      </c>
      <c r="E7" s="8">
        <f>'HISTORICAL FINANCIALS'!E9</f>
        <v>245315</v>
      </c>
      <c r="F7" s="55">
        <f>'HISTORICAL FINANCIALS'!F9</f>
        <v>259286</v>
      </c>
    </row>
    <row r="8" spans="1:8">
      <c r="A8" s="60" t="s">
        <v>153</v>
      </c>
      <c r="B8" s="61" t="s">
        <v>154</v>
      </c>
      <c r="C8" s="62">
        <f>C7/B7-1</f>
        <v>0.17010836107607985</v>
      </c>
      <c r="D8" s="62">
        <f t="shared" ref="D8:F8" si="1">D7/C7-1</f>
        <v>0.16925300860184289</v>
      </c>
      <c r="E8" s="62">
        <f t="shared" si="1"/>
        <v>7.1679765144796903E-2</v>
      </c>
      <c r="F8" s="63">
        <f t="shared" si="1"/>
        <v>5.6951266738682893E-2</v>
      </c>
    </row>
    <row r="9" spans="1:8">
      <c r="A9" s="261"/>
      <c r="B9" s="261"/>
      <c r="C9" s="261"/>
      <c r="D9" s="261"/>
      <c r="E9" s="261"/>
      <c r="F9" s="261"/>
    </row>
    <row r="10" spans="1:8" ht="15.6">
      <c r="A10" s="264" t="s">
        <v>155</v>
      </c>
      <c r="B10" s="264"/>
      <c r="C10" s="264"/>
      <c r="D10" s="264"/>
      <c r="E10" s="264"/>
      <c r="F10" s="264"/>
    </row>
    <row r="11" spans="1:8">
      <c r="A11" s="50" t="s">
        <v>390</v>
      </c>
      <c r="B11" s="69" t="s">
        <v>145</v>
      </c>
      <c r="C11" s="69" t="s">
        <v>146</v>
      </c>
      <c r="D11" s="69" t="s">
        <v>147</v>
      </c>
      <c r="E11" s="69" t="s">
        <v>148</v>
      </c>
      <c r="F11" s="49" t="s">
        <v>149</v>
      </c>
    </row>
    <row r="12" spans="1:8">
      <c r="A12" s="65" t="str">
        <f>'HISTORICAL FINANCIALS'!A11</f>
        <v>employee benefit expense</v>
      </c>
      <c r="B12" s="34">
        <f>'HISTORICAL FINANCIALS'!B11</f>
        <v>91814</v>
      </c>
      <c r="C12" s="34">
        <f>'HISTORICAL FINANCIALS'!C11</f>
        <v>107554</v>
      </c>
      <c r="D12" s="34">
        <f>'HISTORICAL FINANCIALS'!D11</f>
        <v>127522</v>
      </c>
      <c r="E12" s="34">
        <f>'HISTORICAL FINANCIALS'!E11</f>
        <v>140131</v>
      </c>
      <c r="F12" s="67">
        <f>'HISTORICAL FINANCIALS'!F11</f>
        <v>145788</v>
      </c>
    </row>
    <row r="13" spans="1:8">
      <c r="A13" s="66" t="s">
        <v>156</v>
      </c>
      <c r="B13" s="35">
        <f>B12/B4</f>
        <v>0.55923789568575377</v>
      </c>
      <c r="C13" s="35">
        <f>C12/C4</f>
        <v>0.56089573098866252</v>
      </c>
      <c r="D13" s="35">
        <f>D12/D4</f>
        <v>0.56561310754109417</v>
      </c>
      <c r="E13" s="35">
        <f>E12/E4</f>
        <v>0.5817147032084784</v>
      </c>
      <c r="F13" s="68">
        <f>F12/F4</f>
        <v>0.57099215114912816</v>
      </c>
      <c r="H13" s="5"/>
    </row>
    <row r="14" spans="1:8">
      <c r="A14" s="65" t="str">
        <f>'HISTORICAL FINANCIALS'!A12</f>
        <v>Cost of Equipment &amp; Software Licences</v>
      </c>
      <c r="B14" s="34">
        <f>'HISTORICAL FINANCIALS'!B12</f>
        <v>1462</v>
      </c>
      <c r="C14" s="34">
        <f>'HISTORICAL FINANCIALS'!C12</f>
        <v>1163</v>
      </c>
      <c r="D14" s="34">
        <f>'HISTORICAL FINANCIALS'!D12</f>
        <v>1881</v>
      </c>
      <c r="E14" s="34">
        <f>'HISTORICAL FINANCIALS'!E12</f>
        <v>3702</v>
      </c>
      <c r="F14" s="67">
        <f>'HISTORICAL FINANCIALS'!F12</f>
        <v>11648</v>
      </c>
    </row>
    <row r="15" spans="1:8">
      <c r="A15" s="66" t="s">
        <v>156</v>
      </c>
      <c r="B15" s="35">
        <f>B14/B4</f>
        <v>8.9050232371160401E-3</v>
      </c>
      <c r="C15" s="35">
        <f>C14/C4</f>
        <v>6.0650625280307064E-3</v>
      </c>
      <c r="D15" s="35">
        <f>D14/D4</f>
        <v>8.3430173247345408E-3</v>
      </c>
      <c r="E15" s="35">
        <f>E14/E4</f>
        <v>1.5367818907149647E-2</v>
      </c>
      <c r="F15" s="68">
        <f>F14/F4</f>
        <v>4.5620466544468989E-2</v>
      </c>
    </row>
    <row r="16" spans="1:8">
      <c r="A16" s="65" t="str">
        <f>'HISTORICAL FINANCIALS'!A13</f>
        <v>finance costs</v>
      </c>
      <c r="B16" s="34">
        <f>'HISTORICAL FINANCIALS'!B13</f>
        <v>637</v>
      </c>
      <c r="C16" s="34">
        <f>'HISTORICAL FINANCIALS'!C13</f>
        <v>784</v>
      </c>
      <c r="D16" s="34">
        <f>'HISTORICAL FINANCIALS'!D13</f>
        <v>779</v>
      </c>
      <c r="E16" s="34">
        <f>'HISTORICAL FINANCIALS'!E13</f>
        <v>778</v>
      </c>
      <c r="F16" s="67">
        <f>'HISTORICAL FINANCIALS'!F13</f>
        <v>796</v>
      </c>
    </row>
    <row r="17" spans="1:6">
      <c r="A17" s="66" t="s">
        <v>156</v>
      </c>
      <c r="B17" s="35">
        <f>B16/B4</f>
        <v>3.879958824926756E-3</v>
      </c>
      <c r="C17" s="35">
        <f>C16/C4</f>
        <v>4.0885718159725483E-3</v>
      </c>
      <c r="D17" s="35">
        <f>D16/D4</f>
        <v>3.4551889930718805E-3</v>
      </c>
      <c r="E17" s="35">
        <f>E16/E4</f>
        <v>3.2296496784879592E-3</v>
      </c>
      <c r="F17" s="68">
        <f>F16/F4</f>
        <v>3.1176074321254562E-3</v>
      </c>
    </row>
    <row r="18" spans="1:6">
      <c r="A18" s="65" t="str">
        <f>'HISTORICAL FINANCIALS'!A14</f>
        <v xml:space="preserve">depreciation&amp;amortization </v>
      </c>
      <c r="B18" s="34">
        <f>'HISTORICAL FINANCIALS'!B14</f>
        <v>4065</v>
      </c>
      <c r="C18" s="34">
        <f>'HISTORICAL FINANCIALS'!C14</f>
        <v>4604</v>
      </c>
      <c r="D18" s="34">
        <f>'HISTORICAL FINANCIALS'!D14</f>
        <v>5022</v>
      </c>
      <c r="E18" s="34">
        <f>'HISTORICAL FINANCIALS'!E14</f>
        <v>4985</v>
      </c>
      <c r="F18" s="67">
        <f>'HISTORICAL FINANCIALS'!F14</f>
        <v>5242</v>
      </c>
    </row>
    <row r="19" spans="1:6">
      <c r="A19" s="66" t="s">
        <v>156</v>
      </c>
      <c r="B19" s="35">
        <f>B18/B4</f>
        <v>2.4759862830969016E-2</v>
      </c>
      <c r="C19" s="35">
        <f>C18/C4</f>
        <v>2.4009929388695932E-2</v>
      </c>
      <c r="D19" s="35">
        <f>D18/D4</f>
        <v>2.2274658694745805E-2</v>
      </c>
      <c r="E19" s="35">
        <f>E18/E4</f>
        <v>2.0693835022188273E-2</v>
      </c>
      <c r="F19" s="68">
        <f>F18/F4</f>
        <v>2.053077658191161E-2</v>
      </c>
    </row>
    <row r="20" spans="1:6">
      <c r="A20" s="65" t="str">
        <f>'HISTORICAL FINANCIALS'!A15</f>
        <v>other operating expenses</v>
      </c>
      <c r="B20" s="34">
        <f>'HISTORICAL FINANCIALS'!B15</f>
        <v>24355</v>
      </c>
      <c r="C20" s="34">
        <f>'HISTORICAL FINANCIALS'!C15</f>
        <v>29980</v>
      </c>
      <c r="D20" s="34">
        <f>'HISTORICAL FINANCIALS'!D15</f>
        <v>36796</v>
      </c>
      <c r="E20" s="34">
        <f>'HISTORICAL FINANCIALS'!E15</f>
        <v>32764</v>
      </c>
      <c r="F20" s="67">
        <f>'HISTORICAL FINANCIALS'!F15</f>
        <v>30481</v>
      </c>
    </row>
    <row r="21" spans="1:6">
      <c r="A21" s="66" t="s">
        <v>156</v>
      </c>
      <c r="B21" s="35">
        <f>B20/B4</f>
        <v>0.14834599243499394</v>
      </c>
      <c r="C21" s="35">
        <f>C20/C4</f>
        <v>0.15634615184037881</v>
      </c>
      <c r="D21" s="35">
        <f>D20/D4</f>
        <v>0.16320556378571618</v>
      </c>
      <c r="E21" s="35">
        <f>E20/E4</f>
        <v>0.13601059391514075</v>
      </c>
      <c r="F21" s="68">
        <f>F20/F4</f>
        <v>0.11938164841534678</v>
      </c>
    </row>
    <row r="22" spans="1:6">
      <c r="A22" s="65" t="s">
        <v>141</v>
      </c>
      <c r="B22" s="34">
        <f>'HISTORICAL FINANCIALS'!B16</f>
        <v>122333</v>
      </c>
      <c r="C22" s="34">
        <f>'HISTORICAL FINANCIALS'!C16</f>
        <v>144085</v>
      </c>
      <c r="D22" s="34">
        <f>'HISTORICAL FINANCIALS'!D16</f>
        <v>172000</v>
      </c>
      <c r="E22" s="34">
        <f>'HISTORICAL FINANCIALS'!E16</f>
        <v>182360</v>
      </c>
      <c r="F22" s="67">
        <f>'HISTORICAL FINANCIALS'!F16</f>
        <v>193955</v>
      </c>
    </row>
    <row r="23" spans="1:6">
      <c r="A23" s="66" t="s">
        <v>156</v>
      </c>
      <c r="B23" s="35">
        <f>B22/B4</f>
        <v>0.74512873301375959</v>
      </c>
      <c r="C23" s="35">
        <f>C22/C4</f>
        <v>0.75140544656174058</v>
      </c>
      <c r="D23" s="35">
        <f>D22/D4</f>
        <v>0.76289153633936257</v>
      </c>
      <c r="E23" s="35">
        <f>E22/E4</f>
        <v>0.75701660073144506</v>
      </c>
      <c r="F23" s="68">
        <f>F22/F4</f>
        <v>0.75964265012298104</v>
      </c>
    </row>
    <row r="24" spans="1:6">
      <c r="A24" s="70" t="s">
        <v>338</v>
      </c>
      <c r="B24" s="71">
        <f>'HISTORICAL FINANCIALS'!B21/'HISTORICAL FINANCIALS'!B20</f>
        <v>0.25589579524680073</v>
      </c>
      <c r="C24" s="71">
        <f>'HISTORICAL FINANCIALS'!C21/'HISTORICAL FINANCIALS'!C20</f>
        <v>0.25611855979259773</v>
      </c>
      <c r="D24" s="71">
        <f>'HISTORICAL FINANCIALS'!D21/'HISTORICAL FINANCIALS'!D20</f>
        <v>0.25662923717644576</v>
      </c>
      <c r="E24" s="71">
        <f>'HISTORICAL FINANCIALS'!E21/'HISTORICAL FINANCIALS'!E20</f>
        <v>0.25643176282723357</v>
      </c>
      <c r="F24" s="72">
        <f>'HISTORICAL FINANCIALS'!F21/'HISTORICAL FINANCIALS'!F20</f>
        <v>0.25308046715954141</v>
      </c>
    </row>
    <row r="26" spans="1:6" ht="15.6">
      <c r="A26" s="262" t="s">
        <v>157</v>
      </c>
      <c r="B26" s="262"/>
      <c r="C26" s="262"/>
      <c r="D26" s="262"/>
      <c r="E26" s="262"/>
      <c r="F26" s="262"/>
    </row>
    <row r="27" spans="1:6" ht="15.6">
      <c r="A27" s="77" t="s">
        <v>390</v>
      </c>
      <c r="B27" s="58" t="s">
        <v>145</v>
      </c>
      <c r="C27" s="58" t="s">
        <v>146</v>
      </c>
      <c r="D27" s="58" t="s">
        <v>147</v>
      </c>
      <c r="E27" s="58" t="s">
        <v>148</v>
      </c>
      <c r="F27" s="59" t="s">
        <v>149</v>
      </c>
    </row>
    <row r="28" spans="1:6">
      <c r="A28" s="53" t="str">
        <f>'HISTORICAL FINANCIALS'!A18</f>
        <v>Profit Before Exceptional Item and Tax</v>
      </c>
      <c r="B28" s="8">
        <f>'HISTORICAL FINANCIALS'!B18</f>
        <v>44978</v>
      </c>
      <c r="C28" s="8">
        <f>'HISTORICAL FINANCIALS'!C18</f>
        <v>51687</v>
      </c>
      <c r="D28" s="8">
        <f>'HISTORICAL FINANCIALS'!D18</f>
        <v>56907</v>
      </c>
      <c r="E28" s="8">
        <f>'HISTORICAL FINANCIALS'!E18</f>
        <v>62955</v>
      </c>
      <c r="F28" s="55">
        <f>'HISTORICAL FINANCIALS'!F18</f>
        <v>65331</v>
      </c>
    </row>
    <row r="29" spans="1:6">
      <c r="A29" s="53" t="str">
        <f>'HISTORICAL FINANCIALS'!A19</f>
        <v>Exceptional Item</v>
      </c>
      <c r="B29" s="8">
        <f>'HISTORICAL FINANCIALS'!B19</f>
        <v>1218</v>
      </c>
      <c r="C29" s="8">
        <f>'HISTORICAL FINANCIALS'!C19</f>
        <v>0</v>
      </c>
      <c r="D29" s="8">
        <f>'HISTORICAL FINANCIALS'!D19</f>
        <v>0</v>
      </c>
      <c r="E29" s="8">
        <f>'HISTORICAL FINANCIALS'!E19</f>
        <v>958</v>
      </c>
      <c r="F29" s="55">
        <f>'HISTORICAL FINANCIALS'!F19</f>
        <v>0</v>
      </c>
    </row>
    <row r="30" spans="1:6">
      <c r="A30" s="73" t="s">
        <v>161</v>
      </c>
      <c r="B30" s="11">
        <f>B31+B16</f>
        <v>44397</v>
      </c>
      <c r="C30" s="11">
        <f>C31+C16</f>
        <v>52471</v>
      </c>
      <c r="D30" s="11">
        <f>D31+D16</f>
        <v>57686</v>
      </c>
      <c r="E30" s="11">
        <f>E31+E16</f>
        <v>62775</v>
      </c>
      <c r="F30" s="74">
        <f>F31+F16</f>
        <v>66127</v>
      </c>
    </row>
    <row r="31" spans="1:6">
      <c r="A31" s="53" t="s">
        <v>162</v>
      </c>
      <c r="B31" s="8">
        <f>'HISTORICAL FINANCIALS'!B20</f>
        <v>43760</v>
      </c>
      <c r="C31" s="8">
        <f>'HISTORICAL FINANCIALS'!C20</f>
        <v>51687</v>
      </c>
      <c r="D31" s="8">
        <f>'HISTORICAL FINANCIALS'!D20</f>
        <v>56907</v>
      </c>
      <c r="E31" s="8">
        <f>'HISTORICAL FINANCIALS'!E20</f>
        <v>61997</v>
      </c>
      <c r="F31" s="55">
        <f>'HISTORICAL FINANCIALS'!F20</f>
        <v>65331</v>
      </c>
    </row>
    <row r="32" spans="1:6">
      <c r="A32" s="53" t="str">
        <f>'HISTORICAL FINANCIALS'!A21</f>
        <v>Tax Expense</v>
      </c>
      <c r="B32" s="8">
        <f>'HISTORICAL FINANCIALS'!B21</f>
        <v>11198</v>
      </c>
      <c r="C32" s="8">
        <f>'HISTORICAL FINANCIALS'!C21</f>
        <v>13238</v>
      </c>
      <c r="D32" s="8">
        <f>'HISTORICAL FINANCIALS'!D21</f>
        <v>14604</v>
      </c>
      <c r="E32" s="8">
        <f>'HISTORICAL FINANCIALS'!E21</f>
        <v>15898</v>
      </c>
      <c r="F32" s="55">
        <f>'HISTORICAL FINANCIALS'!F21</f>
        <v>16534</v>
      </c>
    </row>
    <row r="33" spans="1:6">
      <c r="A33" s="53" t="s">
        <v>163</v>
      </c>
      <c r="B33" s="8">
        <f>'HISTORICAL FINANCIALS'!B22</f>
        <v>32562</v>
      </c>
      <c r="C33" s="8">
        <f>'HISTORICAL FINANCIALS'!C22</f>
        <v>38449</v>
      </c>
      <c r="D33" s="8">
        <f>'HISTORICAL FINANCIALS'!D22</f>
        <v>42303</v>
      </c>
      <c r="E33" s="8">
        <f>'HISTORICAL FINANCIALS'!E22</f>
        <v>46099</v>
      </c>
      <c r="F33" s="55">
        <f>'HISTORICAL FINANCIALS'!F22</f>
        <v>48797</v>
      </c>
    </row>
    <row r="34" spans="1:6">
      <c r="A34" s="54" t="s">
        <v>158</v>
      </c>
      <c r="B34" s="12">
        <f>B30/B4</f>
        <v>0.27042155722177891</v>
      </c>
      <c r="C34" s="12">
        <f>C30/C4</f>
        <v>0.27363705581109127</v>
      </c>
      <c r="D34" s="12">
        <f>D30/D4</f>
        <v>0.25586140212367714</v>
      </c>
      <c r="E34" s="12">
        <f>E30/E4</f>
        <v>0.26059287733558051</v>
      </c>
      <c r="F34" s="75">
        <f>F30/F4</f>
        <v>0.25899249580924627</v>
      </c>
    </row>
    <row r="35" spans="1:6">
      <c r="A35" s="54" t="s">
        <v>159</v>
      </c>
      <c r="B35" s="13">
        <f>B31/B4</f>
        <v>0.26654159839685215</v>
      </c>
      <c r="C35" s="13">
        <f>C31/C4</f>
        <v>0.26954848399511877</v>
      </c>
      <c r="D35" s="13">
        <f>D31/D4</f>
        <v>0.25240621313060524</v>
      </c>
      <c r="E35" s="13">
        <f>E31/E4</f>
        <v>0.25736322765709257</v>
      </c>
      <c r="F35" s="76">
        <f>F31/F4</f>
        <v>0.25587488837712086</v>
      </c>
    </row>
    <row r="36" spans="1:6">
      <c r="A36" s="60" t="s">
        <v>160</v>
      </c>
      <c r="B36" s="78">
        <f>B33/B4</f>
        <v>0.19833472410873632</v>
      </c>
      <c r="C36" s="78">
        <f>C33/C4</f>
        <v>0.20051211448001086</v>
      </c>
      <c r="D36" s="78">
        <f>D33/D4</f>
        <v>0.18763139919630265</v>
      </c>
      <c r="E36" s="78">
        <f>E33/E4</f>
        <v>0.19136712150207769</v>
      </c>
      <c r="F36" s="79">
        <f>F33/F4</f>
        <v>0.19111795209224358</v>
      </c>
    </row>
    <row r="37" spans="1:6">
      <c r="A37" s="261"/>
      <c r="B37" s="261"/>
      <c r="C37" s="261"/>
      <c r="D37" s="261"/>
      <c r="E37" s="261"/>
      <c r="F37" s="261"/>
    </row>
    <row r="38" spans="1:6" ht="15.6">
      <c r="A38" s="265" t="s">
        <v>164</v>
      </c>
      <c r="B38" s="269"/>
      <c r="C38" s="269"/>
      <c r="D38" s="269"/>
      <c r="E38" s="269"/>
      <c r="F38" s="270"/>
    </row>
    <row r="39" spans="1:6">
      <c r="A39" s="57" t="s">
        <v>390</v>
      </c>
      <c r="B39" s="58" t="s">
        <v>145</v>
      </c>
      <c r="C39" s="58" t="s">
        <v>146</v>
      </c>
      <c r="D39" s="58" t="s">
        <v>147</v>
      </c>
      <c r="E39" s="58" t="s">
        <v>148</v>
      </c>
      <c r="F39" s="59" t="s">
        <v>149</v>
      </c>
    </row>
    <row r="40" spans="1:6">
      <c r="A40" s="53" t="s">
        <v>165</v>
      </c>
      <c r="B40" s="8">
        <f>'HISTORICAL FINANCIALS'!B130</f>
        <v>130759</v>
      </c>
      <c r="C40" s="8">
        <f>'HISTORICAL FINANCIALS'!C130</f>
        <v>141514</v>
      </c>
      <c r="D40" s="8">
        <f>'HISTORICAL FINANCIALS'!D130</f>
        <v>143651</v>
      </c>
      <c r="E40" s="8">
        <f>'HISTORICAL FINANCIALS'!E130</f>
        <v>146449</v>
      </c>
      <c r="F40" s="55">
        <f>'HISTORICAL FINANCIALS'!F130</f>
        <v>159629</v>
      </c>
    </row>
    <row r="41" spans="1:6">
      <c r="A41" s="53" t="s">
        <v>166</v>
      </c>
      <c r="B41" s="8">
        <f>'HISTORICAL FINANCIALS'!B136</f>
        <v>87108</v>
      </c>
      <c r="C41" s="8">
        <f>'HISTORICAL FINANCIALS'!C136</f>
        <v>89846</v>
      </c>
      <c r="D41" s="8">
        <f>'HISTORICAL FINANCIALS'!D136</f>
        <v>91206</v>
      </c>
      <c r="E41" s="8">
        <f>'HISTORICAL FINANCIALS'!E136</f>
        <v>91319</v>
      </c>
      <c r="F41" s="55">
        <f>'HISTORICAL FINANCIALS'!F136</f>
        <v>95771</v>
      </c>
    </row>
    <row r="42" spans="1:6">
      <c r="A42" s="53" t="s">
        <v>167</v>
      </c>
      <c r="B42" s="8">
        <f>SUM('HISTORICAL FINANCIALS'!B145,'HISTORICAL FINANCIALS'!B156)</f>
        <v>43651</v>
      </c>
      <c r="C42" s="8">
        <f>SUM('HISTORICAL FINANCIALS'!C145,'HISTORICAL FINANCIALS'!C156)</f>
        <v>51668</v>
      </c>
      <c r="D42" s="8">
        <f>SUM('HISTORICAL FINANCIALS'!D145,'HISTORICAL FINANCIALS'!D156)</f>
        <v>52445</v>
      </c>
      <c r="E42" s="8">
        <f>SUM('HISTORICAL FINANCIALS'!E145,'HISTORICAL FINANCIALS'!E156)</f>
        <v>55130</v>
      </c>
      <c r="F42" s="55">
        <f>SUM('HISTORICAL FINANCIALS'!F145,'HISTORICAL FINANCIALS'!F156)</f>
        <v>63858</v>
      </c>
    </row>
    <row r="43" spans="1:6">
      <c r="A43" s="53" t="s">
        <v>168</v>
      </c>
      <c r="B43" s="8">
        <f>'HISTORICAL FINANCIALS'!B123</f>
        <v>6858</v>
      </c>
      <c r="C43" s="8">
        <f>'HISTORICAL FINANCIALS'!C123</f>
        <v>12488</v>
      </c>
      <c r="D43" s="8">
        <f>'HISTORICAL FINANCIALS'!D123</f>
        <v>7123</v>
      </c>
      <c r="E43" s="8">
        <f>'HISTORICAL FINANCIALS'!E123</f>
        <v>9016</v>
      </c>
      <c r="F43" s="55">
        <f>'HISTORICAL FINANCIALS'!F123</f>
        <v>8342</v>
      </c>
    </row>
    <row r="44" spans="1:6">
      <c r="A44" s="64" t="s">
        <v>169</v>
      </c>
      <c r="B44" s="80">
        <f>SUM('HISTORICAL FINANCIALS'!B125,'HISTORICAL FINANCIALS'!B111)</f>
        <v>11501</v>
      </c>
      <c r="C44" s="80">
        <f>SUM('HISTORICAL FINANCIALS'!C125,'HISTORICAL FINANCIALS'!C111)</f>
        <v>6756</v>
      </c>
      <c r="D44" s="80">
        <f>SUM('HISTORICAL FINANCIALS'!D125,'HISTORICAL FINANCIALS'!D111)</f>
        <v>1498</v>
      </c>
      <c r="E44" s="80">
        <f>SUM('HISTORICAL FINANCIALS'!E125,'HISTORICAL FINANCIALS'!E111)</f>
        <v>493</v>
      </c>
      <c r="F44" s="81">
        <f>SUM('HISTORICAL FINANCIALS'!F125,'HISTORICAL FINANCIALS'!F111)</f>
        <v>34</v>
      </c>
    </row>
    <row r="45" spans="1:6">
      <c r="A45" s="261"/>
      <c r="B45" s="261"/>
      <c r="C45" s="261"/>
      <c r="D45" s="261"/>
      <c r="E45" s="261"/>
      <c r="F45" s="261"/>
    </row>
    <row r="46" spans="1:6" ht="15.6">
      <c r="A46" s="271" t="s">
        <v>170</v>
      </c>
      <c r="B46" s="272"/>
      <c r="C46" s="272"/>
      <c r="D46" s="272"/>
      <c r="E46" s="272"/>
      <c r="F46" s="273"/>
    </row>
    <row r="47" spans="1:6">
      <c r="A47" s="50" t="s">
        <v>390</v>
      </c>
      <c r="B47" s="69" t="s">
        <v>145</v>
      </c>
      <c r="C47" s="69" t="s">
        <v>146</v>
      </c>
      <c r="D47" s="69" t="s">
        <v>147</v>
      </c>
      <c r="E47" s="69" t="s">
        <v>148</v>
      </c>
      <c r="F47" s="49" t="s">
        <v>149</v>
      </c>
    </row>
    <row r="48" spans="1:6">
      <c r="A48" s="82" t="s">
        <v>171</v>
      </c>
      <c r="B48" s="34">
        <f>'HISTORICAL FINANCIALS'!B121</f>
        <v>30079</v>
      </c>
      <c r="C48" s="34">
        <f>'HISTORICAL FINANCIALS'!C121</f>
        <v>34074</v>
      </c>
      <c r="D48" s="34">
        <f>'HISTORICAL FINANCIALS'!D121</f>
        <v>41049</v>
      </c>
      <c r="E48" s="34">
        <f>'HISTORICAL FINANCIALS'!E121</f>
        <v>44434</v>
      </c>
      <c r="F48" s="67">
        <f>'HISTORICAL FINANCIALS'!F121</f>
        <v>50142</v>
      </c>
    </row>
    <row r="49" spans="1:12">
      <c r="A49" s="82" t="s">
        <v>172</v>
      </c>
      <c r="B49" s="34">
        <f>'HISTORICAL FINANCIALS'!B122</f>
        <v>6583</v>
      </c>
      <c r="C49" s="34">
        <f>'HISTORICAL FINANCIALS'!C122</f>
        <v>7736</v>
      </c>
      <c r="D49" s="34">
        <f>'HISTORICAL FINANCIALS'!D122</f>
        <v>8905</v>
      </c>
      <c r="E49" s="34">
        <f>'HISTORICAL FINANCIALS'!E122</f>
        <v>9143</v>
      </c>
      <c r="F49" s="67">
        <f>'HISTORICAL FINANCIALS'!F122</f>
        <v>8904</v>
      </c>
    </row>
    <row r="50" spans="1:12">
      <c r="A50" s="82" t="s">
        <v>173</v>
      </c>
      <c r="B50" s="34">
        <f>'HISTORICAL FINANCIALS'!B149</f>
        <v>7860</v>
      </c>
      <c r="C50" s="34">
        <f>'HISTORICAL FINANCIALS'!C149</f>
        <v>8045</v>
      </c>
      <c r="D50" s="34">
        <f>'HISTORICAL FINANCIALS'!D149</f>
        <v>10515</v>
      </c>
      <c r="E50" s="34">
        <f>'HISTORICAL FINANCIALS'!E149</f>
        <v>9981</v>
      </c>
      <c r="F50" s="67">
        <f>'HISTORICAL FINANCIALS'!F149</f>
        <v>13909</v>
      </c>
    </row>
    <row r="51" spans="1:12">
      <c r="A51" s="82" t="s">
        <v>174</v>
      </c>
      <c r="B51" s="34">
        <f>'HISTORICAL FINANCIALS'!B151</f>
        <v>3650</v>
      </c>
      <c r="C51" s="34">
        <f>'HISTORICAL FINANCIALS'!C151</f>
        <v>3635</v>
      </c>
      <c r="D51" s="34">
        <f>'HISTORICAL FINANCIALS'!D151</f>
        <v>3843</v>
      </c>
      <c r="E51" s="34">
        <f>'HISTORICAL FINANCIALS'!E151</f>
        <v>3640</v>
      </c>
      <c r="F51" s="67">
        <f>'HISTORICAL FINANCIALS'!F151</f>
        <v>4028</v>
      </c>
      <c r="H51" s="22"/>
      <c r="I51" s="22"/>
      <c r="J51" s="22"/>
      <c r="K51" s="22"/>
      <c r="L51" s="22"/>
    </row>
    <row r="52" spans="1:12">
      <c r="A52" s="66" t="s">
        <v>178</v>
      </c>
      <c r="B52" s="37">
        <f>'HISTORICAL FINANCIALS'!B129-'HISTORICAL FINANCIALS'!B156</f>
        <v>65125</v>
      </c>
      <c r="C52" s="37">
        <f>'HISTORICAL FINANCIALS'!C129-'HISTORICAL FINANCIALS'!C156</f>
        <v>65959</v>
      </c>
      <c r="D52" s="37">
        <f>'HISTORICAL FINANCIALS'!D129-'HISTORICAL FINANCIALS'!D156</f>
        <v>66712</v>
      </c>
      <c r="E52" s="37">
        <f>'HISTORICAL FINANCIALS'!E129-'HISTORICAL FINANCIALS'!E156</f>
        <v>66880</v>
      </c>
      <c r="F52" s="84">
        <f>'HISTORICAL FINANCIALS'!F129-'HISTORICAL FINANCIALS'!F156</f>
        <v>70010</v>
      </c>
    </row>
    <row r="53" spans="1:12">
      <c r="A53" s="83" t="s">
        <v>175</v>
      </c>
      <c r="B53" s="37">
        <f>(B48+B49)-(B50+B51)</f>
        <v>25152</v>
      </c>
      <c r="C53" s="37">
        <f t="shared" ref="C53:F53" si="2">(C48+C49)-(C50+C51)</f>
        <v>30130</v>
      </c>
      <c r="D53" s="37">
        <f t="shared" si="2"/>
        <v>35596</v>
      </c>
      <c r="E53" s="37">
        <f t="shared" si="2"/>
        <v>39956</v>
      </c>
      <c r="F53" s="84">
        <f t="shared" si="2"/>
        <v>41109</v>
      </c>
    </row>
    <row r="54" spans="1:12">
      <c r="A54" s="83" t="s">
        <v>176</v>
      </c>
      <c r="B54" s="38">
        <f>(B48+B49)/B4*365</f>
        <v>81.507336594041803</v>
      </c>
      <c r="C54" s="38">
        <f>(C48+C49)/C4*365</f>
        <v>79.584519749262071</v>
      </c>
      <c r="D54" s="38">
        <f>(D48+D49)/D4*365</f>
        <v>80.871869705222267</v>
      </c>
      <c r="E54" s="38">
        <f>(E48+E49)/E4*365</f>
        <v>81.179631620678066</v>
      </c>
      <c r="F54" s="85">
        <f>(F48+F49)/F4*365</f>
        <v>84.409573718099367</v>
      </c>
    </row>
    <row r="55" spans="1:12">
      <c r="A55" s="83" t="s">
        <v>177</v>
      </c>
      <c r="B55" s="38">
        <f>B50/B22*365</f>
        <v>23.451562538317546</v>
      </c>
      <c r="C55" s="38">
        <f>C50/C22*365</f>
        <v>20.379810528507477</v>
      </c>
      <c r="D55" s="38">
        <f>D50/D22*365</f>
        <v>22.313808139534885</v>
      </c>
      <c r="E55" s="38">
        <f>E50/E22*365</f>
        <v>19.977325071287563</v>
      </c>
      <c r="F55" s="85">
        <f>F50/F22*365</f>
        <v>26.175066381377125</v>
      </c>
    </row>
    <row r="56" spans="1:12">
      <c r="A56" s="47" t="s">
        <v>342</v>
      </c>
      <c r="B56" s="71">
        <f>B51/B4</f>
        <v>2.2232103156958647E-2</v>
      </c>
      <c r="C56" s="71">
        <f>C51/C4</f>
        <v>1.8956579784515579E-2</v>
      </c>
      <c r="D56" s="71">
        <f>D51/D4</f>
        <v>1.7045303338094012E-2</v>
      </c>
      <c r="E56" s="71">
        <f>E51/E4</f>
        <v>1.5110443225830555E-2</v>
      </c>
      <c r="F56" s="72">
        <f>F51/F4</f>
        <v>1.5776033588695147E-2</v>
      </c>
    </row>
    <row r="57" spans="1:12">
      <c r="A57" s="261"/>
      <c r="B57" s="261"/>
      <c r="C57" s="261"/>
      <c r="D57" s="261"/>
      <c r="E57" s="261"/>
      <c r="F57" s="261"/>
    </row>
    <row r="58" spans="1:12" ht="15.6">
      <c r="A58" s="265" t="s">
        <v>179</v>
      </c>
      <c r="B58" s="266"/>
      <c r="C58" s="266"/>
      <c r="D58" s="266"/>
      <c r="E58" s="266"/>
      <c r="F58" s="267"/>
    </row>
    <row r="59" spans="1:12">
      <c r="A59" s="57" t="s">
        <v>390</v>
      </c>
      <c r="B59" s="58" t="s">
        <v>145</v>
      </c>
      <c r="C59" s="58" t="s">
        <v>146</v>
      </c>
      <c r="D59" s="58" t="s">
        <v>147</v>
      </c>
      <c r="E59" s="58" t="s">
        <v>148</v>
      </c>
      <c r="F59" s="59" t="s">
        <v>149</v>
      </c>
    </row>
    <row r="60" spans="1:12">
      <c r="A60" s="86" t="s">
        <v>180</v>
      </c>
      <c r="B60" s="8">
        <f>'HISTORICAL FINANCIALS'!B53</f>
        <v>38802</v>
      </c>
      <c r="C60" s="8">
        <f>'HISTORICAL FINANCIALS'!C53</f>
        <v>39949</v>
      </c>
      <c r="D60" s="8">
        <f>'HISTORICAL FINANCIALS'!D53</f>
        <v>41965</v>
      </c>
      <c r="E60" s="8">
        <f>'HISTORICAL FINANCIALS'!E53</f>
        <v>44338</v>
      </c>
      <c r="F60" s="55">
        <f>'HISTORICAL FINANCIALS'!F53</f>
        <v>48908</v>
      </c>
    </row>
    <row r="61" spans="1:12">
      <c r="A61" s="86" t="s">
        <v>181</v>
      </c>
      <c r="B61" s="8">
        <f>'HISTORICAL FINANCIALS'!B72</f>
        <v>-8129</v>
      </c>
      <c r="C61" s="8">
        <f>'HISTORICAL FINANCIALS'!C72</f>
        <v>-897</v>
      </c>
      <c r="D61" s="8">
        <f>'HISTORICAL FINANCIALS'!D72</f>
        <v>39</v>
      </c>
      <c r="E61" s="8">
        <f>'HISTORICAL FINANCIALS'!E72</f>
        <v>6026</v>
      </c>
      <c r="F61" s="55">
        <f>'HISTORICAL FINANCIALS'!F72</f>
        <v>-2318</v>
      </c>
    </row>
    <row r="62" spans="1:12">
      <c r="A62" s="86" t="s">
        <v>182</v>
      </c>
      <c r="B62" s="8">
        <f>'HISTORICAL FINANCIALS'!B85</f>
        <v>-32634</v>
      </c>
      <c r="C62" s="8">
        <f>'HISTORICAL FINANCIALS'!C85</f>
        <v>-33581</v>
      </c>
      <c r="D62" s="8">
        <f>'HISTORICAL FINANCIALS'!D85</f>
        <v>-47878</v>
      </c>
      <c r="E62" s="8">
        <f>'HISTORICAL FINANCIALS'!E85</f>
        <v>-48536</v>
      </c>
      <c r="F62" s="55">
        <f>'HISTORICAL FINANCIALS'!F85</f>
        <v>-47438</v>
      </c>
    </row>
    <row r="63" spans="1:12">
      <c r="A63" s="86" t="s">
        <v>183</v>
      </c>
      <c r="B63" s="11">
        <f>'HISTORICAL FINANCIALS'!B58+'HISTORICAL FINANCIALS'!B60</f>
        <v>-3075</v>
      </c>
      <c r="C63" s="11">
        <f>'HISTORICAL FINANCIALS'!C58+'HISTORICAL FINANCIALS'!C60</f>
        <v>-2980</v>
      </c>
      <c r="D63" s="11">
        <f>'HISTORICAL FINANCIALS'!D58+'HISTORICAL FINANCIALS'!D60</f>
        <v>-2887</v>
      </c>
      <c r="E63" s="11">
        <f>'HISTORICAL FINANCIALS'!E58+'HISTORICAL FINANCIALS'!E60</f>
        <v>-2644</v>
      </c>
      <c r="F63" s="74">
        <f>'HISTORICAL FINANCIALS'!F58+'HISTORICAL FINANCIALS'!F60</f>
        <v>-3861</v>
      </c>
    </row>
    <row r="64" spans="1:12">
      <c r="A64" s="87" t="s">
        <v>184</v>
      </c>
      <c r="B64" s="80">
        <f>B60+B63</f>
        <v>35727</v>
      </c>
      <c r="C64" s="80">
        <f t="shared" ref="C64:F64" si="3">C60+C63</f>
        <v>36969</v>
      </c>
      <c r="D64" s="80">
        <f t="shared" si="3"/>
        <v>39078</v>
      </c>
      <c r="E64" s="80">
        <f t="shared" si="3"/>
        <v>41694</v>
      </c>
      <c r="F64" s="81">
        <f t="shared" si="3"/>
        <v>45047</v>
      </c>
    </row>
    <row r="65" spans="1:6">
      <c r="A65" s="261"/>
      <c r="B65" s="261"/>
      <c r="C65" s="261"/>
      <c r="D65" s="261"/>
      <c r="E65" s="261"/>
      <c r="F65" s="261"/>
    </row>
    <row r="66" spans="1:6" ht="19.8">
      <c r="A66" s="268" t="s">
        <v>185</v>
      </c>
      <c r="B66" s="268"/>
      <c r="C66" s="268"/>
      <c r="D66" s="268"/>
      <c r="E66" s="268"/>
      <c r="F66" s="268"/>
    </row>
    <row r="67" spans="1:6" ht="15.6">
      <c r="A67" s="262" t="s">
        <v>199</v>
      </c>
      <c r="B67" s="262"/>
      <c r="C67" s="262"/>
      <c r="D67" s="262"/>
      <c r="E67" s="262"/>
      <c r="F67" s="262"/>
    </row>
    <row r="68" spans="1:6">
      <c r="A68" s="57" t="s">
        <v>390</v>
      </c>
      <c r="B68" s="58" t="s">
        <v>145</v>
      </c>
      <c r="C68" s="58" t="s">
        <v>146</v>
      </c>
      <c r="D68" s="58" t="s">
        <v>147</v>
      </c>
      <c r="E68" s="58" t="s">
        <v>148</v>
      </c>
      <c r="F68" s="59" t="s">
        <v>149</v>
      </c>
    </row>
    <row r="69" spans="1:6">
      <c r="A69" s="53" t="s">
        <v>187</v>
      </c>
      <c r="B69" s="10">
        <f>B33/((B40+B40)/2)</f>
        <v>0.24902301180033495</v>
      </c>
      <c r="C69" s="10">
        <f>C33/((B40+C40)/2)</f>
        <v>0.28242976718220314</v>
      </c>
      <c r="D69" s="10">
        <f>D33/((C40+D40)/2)</f>
        <v>0.29669138919572879</v>
      </c>
      <c r="E69" s="10">
        <f>E33/((D40+E40)/2)</f>
        <v>0.31781454670803172</v>
      </c>
      <c r="F69" s="56">
        <f>F33/((E40+F40)/2)</f>
        <v>0.31885336417514487</v>
      </c>
    </row>
    <row r="70" spans="1:6">
      <c r="A70" s="53" t="s">
        <v>186</v>
      </c>
      <c r="B70" s="10">
        <f>B33/((B41+B41)/2)</f>
        <v>0.37381181980989114</v>
      </c>
      <c r="C70" s="10">
        <f>C33/((B41+C41)/2)</f>
        <v>0.4345649151756954</v>
      </c>
      <c r="D70" s="10">
        <f>D33/((C41+D41)/2)</f>
        <v>0.46730221151934254</v>
      </c>
      <c r="E70" s="10">
        <f>E33/((D41+E41)/2)</f>
        <v>0.50512532529790444</v>
      </c>
      <c r="F70" s="56">
        <f>F33/((E41+F41)/2)</f>
        <v>0.52164199048586246</v>
      </c>
    </row>
    <row r="71" spans="1:6">
      <c r="A71" s="53" t="str">
        <f t="shared" ref="A71:F73" si="4">A34</f>
        <v>EBIT Margin %</v>
      </c>
      <c r="B71" s="10">
        <f t="shared" si="4"/>
        <v>0.27042155722177891</v>
      </c>
      <c r="C71" s="10">
        <f t="shared" si="4"/>
        <v>0.27363705581109127</v>
      </c>
      <c r="D71" s="10">
        <f t="shared" si="4"/>
        <v>0.25586140212367714</v>
      </c>
      <c r="E71" s="10">
        <f t="shared" si="4"/>
        <v>0.26059287733558051</v>
      </c>
      <c r="F71" s="56">
        <f t="shared" si="4"/>
        <v>0.25899249580924627</v>
      </c>
    </row>
    <row r="72" spans="1:6">
      <c r="A72" s="53" t="str">
        <f t="shared" si="4"/>
        <v>PBT Margin %</v>
      </c>
      <c r="B72" s="10">
        <f t="shared" si="4"/>
        <v>0.26654159839685215</v>
      </c>
      <c r="C72" s="10">
        <f t="shared" si="4"/>
        <v>0.26954848399511877</v>
      </c>
      <c r="D72" s="10">
        <f t="shared" si="4"/>
        <v>0.25240621313060524</v>
      </c>
      <c r="E72" s="10">
        <f t="shared" si="4"/>
        <v>0.25736322765709257</v>
      </c>
      <c r="F72" s="56">
        <f t="shared" si="4"/>
        <v>0.25587488837712086</v>
      </c>
    </row>
    <row r="73" spans="1:6">
      <c r="A73" s="64" t="str">
        <f t="shared" si="4"/>
        <v>Net Profit Margin %</v>
      </c>
      <c r="B73" s="62">
        <f t="shared" si="4"/>
        <v>0.19833472410873632</v>
      </c>
      <c r="C73" s="62">
        <f t="shared" si="4"/>
        <v>0.20051211448001086</v>
      </c>
      <c r="D73" s="62">
        <f t="shared" si="4"/>
        <v>0.18763139919630265</v>
      </c>
      <c r="E73" s="62">
        <f t="shared" si="4"/>
        <v>0.19136712150207769</v>
      </c>
      <c r="F73" s="63">
        <f t="shared" si="4"/>
        <v>0.19111795209224358</v>
      </c>
    </row>
    <row r="74" spans="1:6">
      <c r="A74" s="261"/>
      <c r="B74" s="261"/>
      <c r="C74" s="261"/>
      <c r="D74" s="261"/>
      <c r="E74" s="261"/>
      <c r="F74" s="261"/>
    </row>
    <row r="75" spans="1:6" ht="15.6">
      <c r="A75" s="262" t="s">
        <v>192</v>
      </c>
      <c r="B75" s="262"/>
      <c r="C75" s="262"/>
      <c r="D75" s="262"/>
      <c r="E75" s="262"/>
      <c r="F75" s="262"/>
    </row>
    <row r="76" spans="1:6">
      <c r="A76" s="57" t="s">
        <v>390</v>
      </c>
      <c r="B76" s="58" t="s">
        <v>145</v>
      </c>
      <c r="C76" s="58" t="s">
        <v>146</v>
      </c>
      <c r="D76" s="58" t="s">
        <v>147</v>
      </c>
      <c r="E76" s="58" t="s">
        <v>148</v>
      </c>
      <c r="F76" s="59" t="s">
        <v>149</v>
      </c>
    </row>
    <row r="77" spans="1:6">
      <c r="A77" s="73" t="s">
        <v>188</v>
      </c>
      <c r="B77" s="15">
        <f>'HISTORICAL FINANCIALS'!B129/'HISTORICAL FINANCIALS'!B156</f>
        <v>2.9067486458790808</v>
      </c>
      <c r="C77" s="15">
        <f>'HISTORICAL FINANCIALS'!C129/'HISTORICAL FINANCIALS'!C156</f>
        <v>2.5574366602913745</v>
      </c>
      <c r="D77" s="15">
        <f>'HISTORICAL FINANCIALS'!D129/'HISTORICAL FINANCIALS'!D156</f>
        <v>2.5315671059277287</v>
      </c>
      <c r="E77" s="15">
        <f>'HISTORICAL FINANCIALS'!E129/'HISTORICAL FINANCIALS'!E156</f>
        <v>2.4506333506854068</v>
      </c>
      <c r="F77" s="88">
        <f>'HISTORICAL FINANCIALS'!F129/'HISTORICAL FINANCIALS'!F156</f>
        <v>2.3209184732363539</v>
      </c>
    </row>
    <row r="78" spans="1:6">
      <c r="A78" s="73" t="s">
        <v>189</v>
      </c>
      <c r="B78" s="16">
        <f>('HISTORICAL FINANCIALS'!B129-'HISTORICAL FINANCIALS'!B118)/'HISTORICAL FINANCIALS'!B156</f>
        <v>2.9065144195578978</v>
      </c>
      <c r="C78" s="16">
        <f>('HISTORICAL FINANCIALS'!C129-'HISTORICAL FINANCIALS'!C118)/'HISTORICAL FINANCIALS'!C156</f>
        <v>2.5569644164246417</v>
      </c>
      <c r="D78" s="16">
        <f>('HISTORICAL FINANCIALS'!D129-'HISTORICAL FINANCIALS'!D118)/'HISTORICAL FINANCIALS'!D156</f>
        <v>2.5309242848615638</v>
      </c>
      <c r="E78" s="16">
        <f>('HISTORICAL FINANCIALS'!E129-'HISTORICAL FINANCIALS'!E118)/'HISTORICAL FINANCIALS'!E156</f>
        <v>2.4500260281103592</v>
      </c>
      <c r="F78" s="89">
        <f>('HISTORICAL FINANCIALS'!F129-'HISTORICAL FINANCIALS'!F118)/'HISTORICAL FINANCIALS'!F156</f>
        <v>2.3205222542970887</v>
      </c>
    </row>
    <row r="79" spans="1:6">
      <c r="A79" s="64" t="s">
        <v>190</v>
      </c>
      <c r="B79" s="90">
        <f>'HISTORICAL FINANCIALS'!B123/'HISTORICAL FINANCIALS'!B156</f>
        <v>0.2007905138339921</v>
      </c>
      <c r="C79" s="90">
        <f>'HISTORICAL FINANCIALS'!C123/'HISTORICAL FINANCIALS'!C156</f>
        <v>0.29486907038794835</v>
      </c>
      <c r="D79" s="90">
        <f>'HISTORICAL FINANCIALS'!D123/'HISTORICAL FINANCIALS'!D156</f>
        <v>0.16352908765324395</v>
      </c>
      <c r="E79" s="90">
        <f>'HISTORICAL FINANCIALS'!E123/'HISTORICAL FINANCIALS'!E156</f>
        <v>0.19555786916536527</v>
      </c>
      <c r="F79" s="91">
        <f>'HISTORICAL FINANCIALS'!F123/'HISTORICAL FINANCIALS'!F156</f>
        <v>0.15739325673100507</v>
      </c>
    </row>
    <row r="80" spans="1:6">
      <c r="A80" s="261"/>
      <c r="B80" s="261"/>
      <c r="C80" s="261"/>
      <c r="D80" s="261"/>
      <c r="E80" s="261"/>
      <c r="F80" s="261"/>
    </row>
    <row r="81" spans="1:8" ht="15.6">
      <c r="A81" s="262" t="s">
        <v>191</v>
      </c>
      <c r="B81" s="262"/>
      <c r="C81" s="262"/>
      <c r="D81" s="262"/>
      <c r="E81" s="262"/>
      <c r="F81" s="262"/>
    </row>
    <row r="82" spans="1:8">
      <c r="A82" s="57" t="s">
        <v>390</v>
      </c>
      <c r="B82" s="58" t="s">
        <v>145</v>
      </c>
      <c r="C82" s="58" t="s">
        <v>146</v>
      </c>
      <c r="D82" s="58" t="s">
        <v>147</v>
      </c>
      <c r="E82" s="58" t="s">
        <v>148</v>
      </c>
      <c r="F82" s="59" t="s">
        <v>149</v>
      </c>
    </row>
    <row r="83" spans="1:8">
      <c r="A83" s="53" t="s">
        <v>193</v>
      </c>
      <c r="B83" s="17">
        <f>B44/B41</f>
        <v>0.13203150112504017</v>
      </c>
      <c r="C83" s="17">
        <f>C44/C41</f>
        <v>7.5195334238586028E-2</v>
      </c>
      <c r="D83" s="17">
        <f>D44/D41</f>
        <v>1.6424358046619739E-2</v>
      </c>
      <c r="E83" s="17">
        <f>E44/E41</f>
        <v>5.3986574535419794E-3</v>
      </c>
      <c r="F83" s="92">
        <f>F44/F41</f>
        <v>3.550135218385524E-4</v>
      </c>
    </row>
    <row r="84" spans="1:8">
      <c r="A84" s="64" t="s">
        <v>194</v>
      </c>
      <c r="B84" s="93">
        <f>B44/B40</f>
        <v>8.7955704769843754E-2</v>
      </c>
      <c r="C84" s="93">
        <f>C44/C40</f>
        <v>4.7740859561598147E-2</v>
      </c>
      <c r="D84" s="93">
        <f>D44/D40</f>
        <v>1.042805131882131E-2</v>
      </c>
      <c r="E84" s="93">
        <f>E44/E40</f>
        <v>3.3663596200725165E-3</v>
      </c>
      <c r="F84" s="94">
        <f>F44/F40</f>
        <v>2.1299387955822565E-4</v>
      </c>
    </row>
    <row r="85" spans="1:8">
      <c r="A85" s="261"/>
      <c r="B85" s="261"/>
      <c r="C85" s="261"/>
      <c r="D85" s="261"/>
      <c r="E85" s="261"/>
      <c r="F85" s="261"/>
    </row>
    <row r="86" spans="1:8" ht="15.6">
      <c r="A86" s="262" t="s">
        <v>195</v>
      </c>
      <c r="B86" s="262"/>
      <c r="C86" s="262"/>
      <c r="D86" s="262"/>
      <c r="E86" s="262"/>
      <c r="F86" s="262"/>
    </row>
    <row r="87" spans="1:8">
      <c r="A87" s="57" t="s">
        <v>390</v>
      </c>
      <c r="B87" s="58" t="s">
        <v>145</v>
      </c>
      <c r="C87" s="58" t="s">
        <v>146</v>
      </c>
      <c r="D87" s="58" t="s">
        <v>147</v>
      </c>
      <c r="E87" s="58" t="s">
        <v>148</v>
      </c>
      <c r="F87" s="59" t="s">
        <v>149</v>
      </c>
    </row>
    <row r="88" spans="1:8">
      <c r="A88" s="64" t="s">
        <v>196</v>
      </c>
      <c r="B88" s="90">
        <f>B30/B16</f>
        <v>69.697017268445833</v>
      </c>
      <c r="C88" s="90">
        <f>C30/C16</f>
        <v>66.927295918367349</v>
      </c>
      <c r="D88" s="90">
        <f>D30/D16</f>
        <v>74.051347881899872</v>
      </c>
      <c r="E88" s="90">
        <f>E30/E16</f>
        <v>80.68766066838046</v>
      </c>
      <c r="F88" s="91">
        <f>F30/F16</f>
        <v>83.074120603015075</v>
      </c>
    </row>
    <row r="89" spans="1:8">
      <c r="A89" s="261"/>
      <c r="B89" s="261"/>
      <c r="C89" s="261"/>
      <c r="D89" s="261"/>
      <c r="E89" s="261"/>
      <c r="F89" s="261"/>
    </row>
    <row r="90" spans="1:8" ht="15.6">
      <c r="A90" s="262" t="s">
        <v>197</v>
      </c>
      <c r="B90" s="262"/>
      <c r="C90" s="262"/>
      <c r="D90" s="262"/>
      <c r="E90" s="262"/>
      <c r="F90" s="262"/>
    </row>
    <row r="91" spans="1:8">
      <c r="A91" s="57" t="s">
        <v>390</v>
      </c>
      <c r="B91" s="58" t="s">
        <v>145</v>
      </c>
      <c r="C91" s="58" t="s">
        <v>146</v>
      </c>
      <c r="D91" s="58" t="s">
        <v>147</v>
      </c>
      <c r="E91" s="58" t="s">
        <v>148</v>
      </c>
      <c r="F91" s="59" t="s">
        <v>149</v>
      </c>
      <c r="H91" s="6"/>
    </row>
    <row r="92" spans="1:8">
      <c r="A92" s="53" t="s">
        <v>198</v>
      </c>
      <c r="B92" s="16">
        <f>B4/((B40+B40)/2)</f>
        <v>1.2555694063123761</v>
      </c>
      <c r="C92" s="16">
        <f>C4/((B40+C40)/2)</f>
        <v>1.4085421617273839</v>
      </c>
      <c r="D92" s="16">
        <f>D4/((C40+D40)/2)</f>
        <v>1.5812459453298968</v>
      </c>
      <c r="E92" s="16">
        <f>E4/((D40+E40)/2)</f>
        <v>1.6607583591864874</v>
      </c>
      <c r="F92" s="89">
        <f>F4/((E40+F40)/2)</f>
        <v>1.6683590457334405</v>
      </c>
    </row>
    <row r="93" spans="1:8">
      <c r="A93" s="53" t="str">
        <f t="shared" ref="A93:F94" si="5">A54</f>
        <v>Receivable Days</v>
      </c>
      <c r="B93" s="14">
        <f t="shared" si="5"/>
        <v>81.507336594041803</v>
      </c>
      <c r="C93" s="14">
        <f t="shared" si="5"/>
        <v>79.584519749262071</v>
      </c>
      <c r="D93" s="14">
        <f t="shared" si="5"/>
        <v>80.871869705222267</v>
      </c>
      <c r="E93" s="14">
        <f t="shared" si="5"/>
        <v>81.179631620678066</v>
      </c>
      <c r="F93" s="95">
        <f t="shared" si="5"/>
        <v>84.409573718099367</v>
      </c>
    </row>
    <row r="94" spans="1:8">
      <c r="A94" s="64" t="str">
        <f t="shared" si="5"/>
        <v>Payable Days</v>
      </c>
      <c r="B94" s="96">
        <f t="shared" si="5"/>
        <v>23.451562538317546</v>
      </c>
      <c r="C94" s="96">
        <f t="shared" si="5"/>
        <v>20.379810528507477</v>
      </c>
      <c r="D94" s="96">
        <f t="shared" si="5"/>
        <v>22.313808139534885</v>
      </c>
      <c r="E94" s="96">
        <f t="shared" si="5"/>
        <v>19.977325071287563</v>
      </c>
      <c r="F94" s="97">
        <f t="shared" si="5"/>
        <v>26.175066381377125</v>
      </c>
    </row>
    <row r="95" spans="1:8">
      <c r="A95" s="261"/>
      <c r="B95" s="261"/>
      <c r="C95" s="261"/>
      <c r="D95" s="261"/>
      <c r="E95" s="261"/>
      <c r="F95" s="261"/>
    </row>
    <row r="96" spans="1:8" ht="15.6">
      <c r="A96" s="262" t="s">
        <v>200</v>
      </c>
      <c r="B96" s="262"/>
      <c r="C96" s="262"/>
      <c r="D96" s="262"/>
      <c r="E96" s="262"/>
      <c r="F96" s="262"/>
    </row>
    <row r="97" spans="1:6">
      <c r="A97" s="57" t="s">
        <v>390</v>
      </c>
      <c r="B97" s="58" t="s">
        <v>145</v>
      </c>
      <c r="C97" s="58" t="s">
        <v>146</v>
      </c>
      <c r="D97" s="58" t="s">
        <v>147</v>
      </c>
      <c r="E97" s="58" t="s">
        <v>148</v>
      </c>
      <c r="F97" s="59" t="s">
        <v>149</v>
      </c>
    </row>
    <row r="98" spans="1:6">
      <c r="A98" s="73" t="s">
        <v>201</v>
      </c>
      <c r="B98" s="18">
        <f>B60/B4</f>
        <v>0.23634248402638616</v>
      </c>
      <c r="C98" s="18">
        <f>C60/C4</f>
        <v>0.20833463708710118</v>
      </c>
      <c r="D98" s="18">
        <f>D60/D4</f>
        <v>0.18613222861907761</v>
      </c>
      <c r="E98" s="18">
        <f>E60/E4</f>
        <v>0.18405682190848219</v>
      </c>
      <c r="F98" s="98">
        <f>F60/F4</f>
        <v>0.19155269383215051</v>
      </c>
    </row>
    <row r="99" spans="1:6">
      <c r="A99" s="73" t="s">
        <v>202</v>
      </c>
      <c r="B99" s="12">
        <f>B64/B4</f>
        <v>0.21761269849004428</v>
      </c>
      <c r="C99" s="12">
        <f>C64/C4</f>
        <v>0.19279389217434839</v>
      </c>
      <c r="D99" s="12">
        <f>D64/D4</f>
        <v>0.17332718288993959</v>
      </c>
      <c r="E99" s="12">
        <f>E64/E4</f>
        <v>0.17308099446642286</v>
      </c>
      <c r="F99" s="75">
        <f>F64/F4</f>
        <v>0.17643073114944149</v>
      </c>
    </row>
    <row r="100" spans="1:6">
      <c r="A100" s="64" t="s">
        <v>203</v>
      </c>
      <c r="B100" s="78">
        <f>B60/B33</f>
        <v>1.1916344204901419</v>
      </c>
      <c r="C100" s="78">
        <f>C60/C33</f>
        <v>1.0390127181461157</v>
      </c>
      <c r="D100" s="78">
        <f>D60/D33</f>
        <v>0.99201002292981588</v>
      </c>
      <c r="E100" s="78">
        <f>E60/E33</f>
        <v>0.96179960519750973</v>
      </c>
      <c r="F100" s="79">
        <f>F60/F33</f>
        <v>1.0022747300038937</v>
      </c>
    </row>
    <row r="101" spans="1:6">
      <c r="C101" s="7"/>
      <c r="D101" s="6"/>
      <c r="E101" s="6"/>
      <c r="F101" s="4"/>
    </row>
  </sheetData>
  <mergeCells count="24">
    <mergeCell ref="A58:F58"/>
    <mergeCell ref="A65:F65"/>
    <mergeCell ref="A66:F66"/>
    <mergeCell ref="A37:F37"/>
    <mergeCell ref="A38:F38"/>
    <mergeCell ref="A45:F45"/>
    <mergeCell ref="A46:F46"/>
    <mergeCell ref="A57:F57"/>
    <mergeCell ref="A26:F26"/>
    <mergeCell ref="A1:F1"/>
    <mergeCell ref="A2:F2"/>
    <mergeCell ref="A9:F9"/>
    <mergeCell ref="A10:F10"/>
    <mergeCell ref="A67:F67"/>
    <mergeCell ref="A74:F74"/>
    <mergeCell ref="A75:F75"/>
    <mergeCell ref="A80:F80"/>
    <mergeCell ref="A81:F81"/>
    <mergeCell ref="A95:F95"/>
    <mergeCell ref="A96:F96"/>
    <mergeCell ref="A85:F85"/>
    <mergeCell ref="A86:F86"/>
    <mergeCell ref="A89:F89"/>
    <mergeCell ref="A90:F90"/>
  </mergeCells>
  <phoneticPr fontId="3" type="noConversion"/>
  <pageMargins left="0.7" right="0.7" top="0.75" bottom="0.75" header="0.3" footer="0.3"/>
  <pageSetup orientation="portrait" r:id="rId1"/>
  <legacyDrawing r:id="rId2"/>
  <tableParts count="12">
    <tablePart r:id="rId3"/>
    <tablePart r:id="rId4"/>
    <tablePart r:id="rId5"/>
    <tablePart r:id="rId6"/>
    <tablePart r:id="rId7"/>
    <tablePart r:id="rId8"/>
    <tablePart r:id="rId9"/>
    <tablePart r:id="rId10"/>
    <tablePart r:id="rId11"/>
    <tablePart r:id="rId12"/>
    <tablePart r:id="rId13"/>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D4A76-A703-4232-A68F-FEFBE0E4B27D}">
  <sheetPr>
    <tabColor theme="3" tint="0.499984740745262"/>
    <pageSetUpPr fitToPage="1"/>
  </sheetPr>
  <dimension ref="A1:C39"/>
  <sheetViews>
    <sheetView topLeftCell="A9" zoomScale="55" zoomScaleNormal="55" workbookViewId="0">
      <selection activeCell="F10" sqref="F10"/>
    </sheetView>
  </sheetViews>
  <sheetFormatPr defaultRowHeight="30" customHeight="1"/>
  <cols>
    <col min="1" max="1" width="49.33203125" customWidth="1"/>
    <col min="2" max="2" width="135" bestFit="1" customWidth="1"/>
    <col min="3" max="3" width="117.88671875" bestFit="1" customWidth="1"/>
  </cols>
  <sheetData>
    <row r="1" spans="1:3" ht="47.4">
      <c r="A1" s="274" t="s">
        <v>387</v>
      </c>
      <c r="B1" s="274"/>
      <c r="C1" s="274"/>
    </row>
    <row r="2" spans="1:3" ht="30" customHeight="1">
      <c r="A2" s="40" t="s">
        <v>204</v>
      </c>
      <c r="B2" s="29" t="s">
        <v>205</v>
      </c>
      <c r="C2" s="42" t="s">
        <v>206</v>
      </c>
    </row>
    <row r="3" spans="1:3" ht="30" customHeight="1">
      <c r="A3" s="41" t="s">
        <v>207</v>
      </c>
      <c r="B3" s="30" t="s">
        <v>208</v>
      </c>
      <c r="C3" s="43" t="s">
        <v>209</v>
      </c>
    </row>
    <row r="4" spans="1:3" ht="30" customHeight="1">
      <c r="A4" s="41" t="s">
        <v>210</v>
      </c>
      <c r="B4" s="30" t="s">
        <v>211</v>
      </c>
      <c r="C4" s="43" t="s">
        <v>212</v>
      </c>
    </row>
    <row r="5" spans="1:3" ht="30" customHeight="1">
      <c r="A5" s="41" t="s">
        <v>213</v>
      </c>
      <c r="B5" s="30" t="s">
        <v>214</v>
      </c>
      <c r="C5" s="43" t="s">
        <v>215</v>
      </c>
    </row>
    <row r="6" spans="1:3" ht="30" customHeight="1">
      <c r="A6" s="41" t="s">
        <v>140</v>
      </c>
      <c r="B6" s="30" t="s">
        <v>216</v>
      </c>
      <c r="C6" s="43" t="s">
        <v>217</v>
      </c>
    </row>
    <row r="7" spans="1:3" ht="30" customHeight="1">
      <c r="A7" s="41" t="s">
        <v>218</v>
      </c>
      <c r="B7" s="30" t="s">
        <v>219</v>
      </c>
      <c r="C7" s="43" t="s">
        <v>220</v>
      </c>
    </row>
    <row r="8" spans="1:3" ht="30" customHeight="1">
      <c r="A8" s="41" t="s">
        <v>221</v>
      </c>
      <c r="B8" s="30" t="s">
        <v>222</v>
      </c>
      <c r="C8" s="43" t="s">
        <v>223</v>
      </c>
    </row>
    <row r="9" spans="1:3" ht="30" customHeight="1">
      <c r="A9" s="41" t="s">
        <v>161</v>
      </c>
      <c r="B9" s="30" t="s">
        <v>224</v>
      </c>
      <c r="C9" s="43" t="s">
        <v>225</v>
      </c>
    </row>
    <row r="10" spans="1:3" ht="30" customHeight="1">
      <c r="A10" s="41" t="s">
        <v>226</v>
      </c>
      <c r="B10" s="30" t="s">
        <v>227</v>
      </c>
      <c r="C10" s="43" t="s">
        <v>228</v>
      </c>
    </row>
    <row r="11" spans="1:3" ht="30" customHeight="1">
      <c r="A11" s="41" t="s">
        <v>229</v>
      </c>
      <c r="B11" s="30" t="s">
        <v>230</v>
      </c>
      <c r="C11" s="43" t="s">
        <v>231</v>
      </c>
    </row>
    <row r="12" spans="1:3" ht="30" customHeight="1">
      <c r="A12" s="41" t="s">
        <v>232</v>
      </c>
      <c r="B12" s="30" t="s">
        <v>233</v>
      </c>
      <c r="C12" s="43" t="s">
        <v>234</v>
      </c>
    </row>
    <row r="13" spans="1:3" ht="30" customHeight="1">
      <c r="A13" s="41" t="s">
        <v>235</v>
      </c>
      <c r="B13" s="30" t="s">
        <v>236</v>
      </c>
      <c r="C13" s="43" t="s">
        <v>237</v>
      </c>
    </row>
    <row r="14" spans="1:3" ht="45" customHeight="1">
      <c r="A14" s="41" t="s">
        <v>187</v>
      </c>
      <c r="B14" s="30" t="s">
        <v>238</v>
      </c>
      <c r="C14" s="43" t="s">
        <v>239</v>
      </c>
    </row>
    <row r="15" spans="1:3" ht="45" customHeight="1">
      <c r="A15" s="41" t="s">
        <v>186</v>
      </c>
      <c r="B15" s="30" t="s">
        <v>240</v>
      </c>
      <c r="C15" s="43" t="s">
        <v>241</v>
      </c>
    </row>
    <row r="16" spans="1:3" ht="30" customHeight="1">
      <c r="A16" s="41" t="s">
        <v>178</v>
      </c>
      <c r="B16" s="30" t="s">
        <v>242</v>
      </c>
      <c r="C16" s="43" t="s">
        <v>243</v>
      </c>
    </row>
    <row r="17" spans="1:3" ht="30" customHeight="1">
      <c r="A17" s="41" t="s">
        <v>175</v>
      </c>
      <c r="B17" s="30" t="s">
        <v>244</v>
      </c>
      <c r="C17" s="43" t="s">
        <v>245</v>
      </c>
    </row>
    <row r="18" spans="1:3" ht="30" customHeight="1">
      <c r="A18" s="41" t="s">
        <v>246</v>
      </c>
      <c r="B18" s="30" t="s">
        <v>247</v>
      </c>
      <c r="C18" s="43" t="s">
        <v>248</v>
      </c>
    </row>
    <row r="19" spans="1:3" ht="30" customHeight="1">
      <c r="A19" s="41" t="s">
        <v>176</v>
      </c>
      <c r="B19" s="30" t="s">
        <v>249</v>
      </c>
      <c r="C19" s="43" t="s">
        <v>250</v>
      </c>
    </row>
    <row r="20" spans="1:3" ht="30" customHeight="1">
      <c r="A20" s="41" t="s">
        <v>251</v>
      </c>
      <c r="B20" s="30" t="s">
        <v>252</v>
      </c>
      <c r="C20" s="43" t="s">
        <v>253</v>
      </c>
    </row>
    <row r="21" spans="1:3" ht="45" customHeight="1">
      <c r="A21" s="41" t="s">
        <v>177</v>
      </c>
      <c r="B21" s="30" t="s">
        <v>254</v>
      </c>
      <c r="C21" s="43" t="s">
        <v>255</v>
      </c>
    </row>
    <row r="22" spans="1:3" ht="45" customHeight="1">
      <c r="A22" s="41" t="s">
        <v>174</v>
      </c>
      <c r="B22" s="30" t="s">
        <v>256</v>
      </c>
      <c r="C22" s="43" t="s">
        <v>257</v>
      </c>
    </row>
    <row r="23" spans="1:3" ht="30" customHeight="1">
      <c r="A23" s="41" t="s">
        <v>168</v>
      </c>
      <c r="B23" s="30" t="s">
        <v>258</v>
      </c>
      <c r="C23" s="43" t="s">
        <v>259</v>
      </c>
    </row>
    <row r="24" spans="1:3" ht="30" customHeight="1">
      <c r="A24" s="41" t="s">
        <v>169</v>
      </c>
      <c r="B24" s="30" t="s">
        <v>260</v>
      </c>
      <c r="C24" s="43" t="s">
        <v>261</v>
      </c>
    </row>
    <row r="25" spans="1:3" ht="30" customHeight="1">
      <c r="A25" s="41" t="s">
        <v>193</v>
      </c>
      <c r="B25" s="30" t="s">
        <v>262</v>
      </c>
      <c r="C25" s="43" t="s">
        <v>263</v>
      </c>
    </row>
    <row r="26" spans="1:3" ht="30" customHeight="1">
      <c r="A26" s="41" t="s">
        <v>194</v>
      </c>
      <c r="B26" s="30" t="s">
        <v>264</v>
      </c>
      <c r="C26" s="43" t="s">
        <v>265</v>
      </c>
    </row>
    <row r="27" spans="1:3" ht="30" customHeight="1">
      <c r="A27" s="41" t="s">
        <v>266</v>
      </c>
      <c r="B27" s="30" t="s">
        <v>267</v>
      </c>
      <c r="C27" s="43" t="s">
        <v>268</v>
      </c>
    </row>
    <row r="28" spans="1:3" ht="30" customHeight="1">
      <c r="A28" s="41" t="s">
        <v>198</v>
      </c>
      <c r="B28" s="30" t="s">
        <v>269</v>
      </c>
      <c r="C28" s="43" t="s">
        <v>270</v>
      </c>
    </row>
    <row r="29" spans="1:3" ht="30" customHeight="1">
      <c r="A29" s="41" t="s">
        <v>180</v>
      </c>
      <c r="B29" s="30" t="s">
        <v>271</v>
      </c>
      <c r="C29" s="43" t="s">
        <v>272</v>
      </c>
    </row>
    <row r="30" spans="1:3" ht="45" customHeight="1">
      <c r="A30" s="41" t="s">
        <v>273</v>
      </c>
      <c r="B30" s="30" t="s">
        <v>274</v>
      </c>
      <c r="C30" s="43" t="s">
        <v>275</v>
      </c>
    </row>
    <row r="31" spans="1:3" ht="30" customHeight="1">
      <c r="A31" s="41" t="s">
        <v>276</v>
      </c>
      <c r="B31" s="30" t="s">
        <v>277</v>
      </c>
      <c r="C31" s="43" t="s">
        <v>278</v>
      </c>
    </row>
    <row r="32" spans="1:3" ht="30" customHeight="1">
      <c r="A32" s="41" t="s">
        <v>184</v>
      </c>
      <c r="B32" s="30" t="s">
        <v>279</v>
      </c>
      <c r="C32" s="43" t="s">
        <v>280</v>
      </c>
    </row>
    <row r="33" spans="1:3" ht="30" customHeight="1">
      <c r="A33" s="41" t="s">
        <v>281</v>
      </c>
      <c r="B33" s="30" t="s">
        <v>282</v>
      </c>
      <c r="C33" s="43" t="s">
        <v>283</v>
      </c>
    </row>
    <row r="34" spans="1:3" ht="30" customHeight="1">
      <c r="A34" s="41" t="s">
        <v>284</v>
      </c>
      <c r="B34" s="30" t="s">
        <v>285</v>
      </c>
      <c r="C34" s="43" t="s">
        <v>286</v>
      </c>
    </row>
    <row r="35" spans="1:3" ht="30" customHeight="1">
      <c r="A35" s="41" t="s">
        <v>203</v>
      </c>
      <c r="B35" s="30" t="s">
        <v>287</v>
      </c>
      <c r="C35" s="43" t="s">
        <v>288</v>
      </c>
    </row>
    <row r="36" spans="1:3" ht="30" customHeight="1">
      <c r="A36" s="41" t="s">
        <v>289</v>
      </c>
      <c r="B36" s="30" t="s">
        <v>290</v>
      </c>
      <c r="C36" s="43" t="s">
        <v>291</v>
      </c>
    </row>
    <row r="37" spans="1:3" ht="30" customHeight="1">
      <c r="A37" s="41" t="s">
        <v>292</v>
      </c>
      <c r="B37" s="30" t="s">
        <v>293</v>
      </c>
      <c r="C37" s="43" t="s">
        <v>294</v>
      </c>
    </row>
    <row r="38" spans="1:3" ht="45" customHeight="1">
      <c r="A38" s="41" t="s">
        <v>295</v>
      </c>
      <c r="B38" s="30" t="s">
        <v>296</v>
      </c>
      <c r="C38" s="43" t="s">
        <v>297</v>
      </c>
    </row>
    <row r="39" spans="1:3" ht="45" customHeight="1">
      <c r="A39" s="44" t="s">
        <v>319</v>
      </c>
      <c r="B39" s="45" t="s">
        <v>320</v>
      </c>
      <c r="C39" s="46" t="s">
        <v>321</v>
      </c>
    </row>
  </sheetData>
  <mergeCells count="1">
    <mergeCell ref="A1:C1"/>
  </mergeCells>
  <pageMargins left="0.7" right="0.7" top="0.75" bottom="0.75" header="0.3" footer="0.3"/>
  <pageSetup paperSize="8" scale="53"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B223-B3AC-42E6-8354-0790DACBE3C9}">
  <sheetPr>
    <tabColor theme="3" tint="0.749992370372631"/>
  </sheetPr>
  <dimension ref="A1:G13"/>
  <sheetViews>
    <sheetView zoomScale="85" zoomScaleNormal="85" workbookViewId="0">
      <selection activeCell="G10" sqref="G10"/>
    </sheetView>
  </sheetViews>
  <sheetFormatPr defaultRowHeight="14.4"/>
  <cols>
    <col min="1" max="1" width="35" bestFit="1" customWidth="1"/>
    <col min="2" max="2" width="15.77734375" customWidth="1"/>
    <col min="3" max="3" width="33.33203125" style="27" customWidth="1"/>
    <col min="4" max="4" width="22.44140625" bestFit="1" customWidth="1"/>
    <col min="5" max="5" width="31.6640625" bestFit="1" customWidth="1"/>
    <col min="6" max="6" width="13.5546875" bestFit="1" customWidth="1"/>
    <col min="7" max="7" width="9.109375" bestFit="1" customWidth="1"/>
  </cols>
  <sheetData>
    <row r="1" spans="1:7" ht="25.8">
      <c r="A1" s="275" t="s">
        <v>389</v>
      </c>
      <c r="B1" s="275"/>
      <c r="C1" s="275"/>
      <c r="D1" s="275"/>
      <c r="E1" s="275"/>
    </row>
    <row r="2" spans="1:7">
      <c r="A2" s="19" t="s">
        <v>298</v>
      </c>
      <c r="B2" s="24" t="s">
        <v>300</v>
      </c>
      <c r="C2" s="28" t="s">
        <v>299</v>
      </c>
      <c r="D2" s="19" t="s">
        <v>301</v>
      </c>
      <c r="E2" s="19" t="s">
        <v>302</v>
      </c>
    </row>
    <row r="3" spans="1:7" ht="57.6">
      <c r="A3" s="20" t="s">
        <v>218</v>
      </c>
      <c r="B3" s="25">
        <f>'FINANCIAL ANALYSIS'!F5</f>
        <v>5.9906265437351891E-2</v>
      </c>
      <c r="C3" s="27" t="s">
        <v>310</v>
      </c>
      <c r="D3" s="21">
        <f>('FINANCIAL ANALYSIS'!F5+'FINANCIAL ANALYSIS'!E5)/2</f>
        <v>6.418345499599587E-2</v>
      </c>
      <c r="E3" s="27" t="s">
        <v>318</v>
      </c>
    </row>
    <row r="4" spans="1:7" ht="43.2">
      <c r="A4" s="20" t="s">
        <v>303</v>
      </c>
      <c r="B4" s="25">
        <f>'FINANCIAL ANALYSIS'!F13</f>
        <v>0.57099215114912816</v>
      </c>
      <c r="C4" s="27" t="s">
        <v>311</v>
      </c>
      <c r="D4" s="21">
        <f>SUM('FINANCIAL ANALYSIS'!B13:F13)/5</f>
        <v>0.56769071771462343</v>
      </c>
      <c r="E4" s="27" t="s">
        <v>322</v>
      </c>
    </row>
    <row r="5" spans="1:7" ht="57.6">
      <c r="A5" s="20" t="s">
        <v>304</v>
      </c>
      <c r="B5" s="25">
        <f>'FINANCIAL ANALYSIS'!F15</f>
        <v>4.5620466544468989E-2</v>
      </c>
      <c r="C5" s="27" t="s">
        <v>311</v>
      </c>
      <c r="D5" s="31">
        <f>('FINANCIAL ANALYSIS'!E15+'FINANCIAL ANALYSIS'!F15)/2</f>
        <v>3.0494142725809317E-2</v>
      </c>
      <c r="E5" s="27" t="s">
        <v>323</v>
      </c>
    </row>
    <row r="6" spans="1:7" ht="43.2">
      <c r="A6" s="20" t="s">
        <v>305</v>
      </c>
      <c r="B6" s="25">
        <f>'FINANCIAL ANALYSIS'!F17</f>
        <v>3.1176074321254562E-3</v>
      </c>
      <c r="C6" s="27" t="s">
        <v>312</v>
      </c>
      <c r="D6" s="21">
        <f>SUM('FINANCIAL ANALYSIS'!D17:F17)/3</f>
        <v>3.2674820345617653E-3</v>
      </c>
      <c r="E6" s="27" t="s">
        <v>324</v>
      </c>
    </row>
    <row r="7" spans="1:7" ht="43.2">
      <c r="A7" s="20" t="s">
        <v>306</v>
      </c>
      <c r="B7" s="25">
        <f>'FINANCIAL ANALYSIS'!F19</f>
        <v>2.053077658191161E-2</v>
      </c>
      <c r="C7" s="23" t="s">
        <v>313</v>
      </c>
      <c r="D7" s="4">
        <f>'FINANCIAL FORECAST'!C8/'FINANCIAL FORECAST'!C4</f>
        <v>2.053077658191161E-2</v>
      </c>
      <c r="E7" s="27" t="s">
        <v>325</v>
      </c>
      <c r="F7" s="32"/>
      <c r="G7" s="33"/>
    </row>
    <row r="8" spans="1:7" ht="43.2">
      <c r="A8" s="20" t="s">
        <v>307</v>
      </c>
      <c r="B8" s="25">
        <f>'FINANCIAL ANALYSIS'!F21</f>
        <v>0.11938164841534678</v>
      </c>
      <c r="C8" s="27" t="s">
        <v>311</v>
      </c>
      <c r="D8" s="21">
        <f>('FINANCIAL ANALYSIS'!E21+'FINANCIAL ANALYSIS'!F21)/2</f>
        <v>0.12769612116524376</v>
      </c>
      <c r="E8" s="27" t="s">
        <v>333</v>
      </c>
    </row>
    <row r="9" spans="1:7" ht="43.2">
      <c r="A9" s="20" t="s">
        <v>308</v>
      </c>
      <c r="B9" s="25">
        <f>'FINANCIAL ANALYSIS'!F32/'FINANCIAL ANALYSIS'!F31</f>
        <v>0.25308046715954141</v>
      </c>
      <c r="C9" s="23" t="s">
        <v>314</v>
      </c>
      <c r="D9" s="31">
        <f>('FINANCIAL ANALYSIS'!B24+'FINANCIAL ANALYSIS'!C24+'FINANCIAL ANALYSIS'!D24+'FINANCIAL ANALYSIS'!E24+'FINANCIAL ANALYSIS'!F24)/5</f>
        <v>0.25563116444052386</v>
      </c>
      <c r="E9" s="27" t="s">
        <v>339</v>
      </c>
    </row>
    <row r="10" spans="1:7" ht="43.2">
      <c r="A10" s="20" t="s">
        <v>176</v>
      </c>
      <c r="B10" s="26">
        <f>'FINANCIAL ANALYSIS'!F54</f>
        <v>84.409573718099367</v>
      </c>
      <c r="C10" s="27" t="s">
        <v>315</v>
      </c>
      <c r="D10" s="174">
        <f>SUM('FINANCIAL ANALYSIS'!B54:F54)/5</f>
        <v>81.510586277460703</v>
      </c>
      <c r="E10" s="27" t="s">
        <v>334</v>
      </c>
    </row>
    <row r="11" spans="1:7" ht="28.8">
      <c r="A11" s="20" t="s">
        <v>177</v>
      </c>
      <c r="B11" s="26">
        <f>'FINANCIAL ANALYSIS'!F55</f>
        <v>26.175066381377125</v>
      </c>
      <c r="C11" s="23" t="s">
        <v>316</v>
      </c>
      <c r="D11" s="174">
        <f>SUM('FINANCIAL ANALYSIS'!B55:F55)/5</f>
        <v>22.459514531804921</v>
      </c>
      <c r="E11" s="27" t="s">
        <v>335</v>
      </c>
    </row>
    <row r="12" spans="1:7" ht="43.2">
      <c r="A12" s="20" t="s">
        <v>309</v>
      </c>
      <c r="B12" s="25">
        <f>'FINANCIAL ANALYSIS'!F63/'FINANCIAL ANALYSIS'!F4</f>
        <v>-1.5121962682709029E-2</v>
      </c>
      <c r="C12" s="27" t="s">
        <v>317</v>
      </c>
      <c r="D12" s="22">
        <f>(('FINANCIAL ANALYSIS'!E63/'FINANCIAL ANALYSIS'!E4)+'FORECAST ASSUMPTIONS'!B12)/2</f>
        <v>-1.3048895062384182E-2</v>
      </c>
      <c r="E12" s="27" t="s">
        <v>337</v>
      </c>
    </row>
    <row r="13" spans="1:7" ht="45" customHeight="1">
      <c r="A13" t="s">
        <v>342</v>
      </c>
      <c r="B13" s="22">
        <f>'FINANCIAL ANALYSIS'!F56</f>
        <v>1.5776033588695147E-2</v>
      </c>
      <c r="C13" s="27" t="s">
        <v>343</v>
      </c>
      <c r="D13" s="39">
        <f>('FINANCIAL ANALYSIS'!E56+'FINANCIAL ANALYSIS'!F56)/2</f>
        <v>1.544323840726285E-2</v>
      </c>
      <c r="E13" s="27" t="s">
        <v>344</v>
      </c>
    </row>
  </sheetData>
  <mergeCells count="1">
    <mergeCell ref="A1:E1"/>
  </mergeCells>
  <pageMargins left="0.7" right="0.7" top="0.75" bottom="0.75" header="0.3" footer="0.3"/>
  <pageSetup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435F6-7FEF-4BB2-9CAC-12FD4FAD3468}">
  <sheetPr>
    <tabColor theme="3" tint="0.89999084444715716"/>
  </sheetPr>
  <dimension ref="A1:F28"/>
  <sheetViews>
    <sheetView zoomScale="115" zoomScaleNormal="115" workbookViewId="0">
      <selection activeCell="E17" sqref="E17"/>
    </sheetView>
  </sheetViews>
  <sheetFormatPr defaultRowHeight="14.4"/>
  <cols>
    <col min="1" max="1" width="35.21875" bestFit="1" customWidth="1"/>
    <col min="2" max="2" width="14.5546875" customWidth="1"/>
    <col min="3" max="3" width="16.44140625" customWidth="1"/>
    <col min="4" max="4" width="11.109375" bestFit="1" customWidth="1"/>
    <col min="6" max="6" width="12.109375" bestFit="1" customWidth="1"/>
  </cols>
  <sheetData>
    <row r="1" spans="1:6" ht="18">
      <c r="A1" s="279" t="s">
        <v>391</v>
      </c>
      <c r="B1" s="279"/>
      <c r="C1" s="279"/>
    </row>
    <row r="2" spans="1:6" ht="15.6">
      <c r="A2" s="276" t="s">
        <v>341</v>
      </c>
      <c r="B2" s="277"/>
      <c r="C2" s="278"/>
    </row>
    <row r="3" spans="1:6">
      <c r="A3" s="131" t="s">
        <v>390</v>
      </c>
      <c r="B3" s="132" t="s">
        <v>326</v>
      </c>
      <c r="C3" s="133" t="s">
        <v>301</v>
      </c>
    </row>
    <row r="4" spans="1:6">
      <c r="A4" s="134" t="s">
        <v>150</v>
      </c>
      <c r="B4" s="135">
        <f>'FINANCIAL ANALYSIS'!F4</f>
        <v>255324</v>
      </c>
      <c r="C4" s="136">
        <f>'FINANCIAL ANALYSIS'!F4*1.0642</f>
        <v>271715.80080000003</v>
      </c>
    </row>
    <row r="5" spans="1:6">
      <c r="A5" s="134" t="s">
        <v>327</v>
      </c>
      <c r="B5" s="135">
        <f>'HISTORICAL FINANCIALS'!F11</f>
        <v>145788</v>
      </c>
      <c r="C5" s="136">
        <f>C4*'FORECAST ASSUMPTIONS'!D4</f>
        <v>154250.53797055566</v>
      </c>
    </row>
    <row r="6" spans="1:6">
      <c r="A6" s="134" t="s">
        <v>328</v>
      </c>
      <c r="B6" s="135">
        <f>'FINANCIAL ANALYSIS'!F14</f>
        <v>11648</v>
      </c>
      <c r="C6" s="136">
        <f>C4*'FORECAST ASSUMPTIONS'!D5</f>
        <v>8285.7404104527741</v>
      </c>
    </row>
    <row r="7" spans="1:6">
      <c r="A7" s="134" t="s">
        <v>329</v>
      </c>
      <c r="B7" s="135">
        <f>'FINANCIAL ANALYSIS'!F16</f>
        <v>796</v>
      </c>
      <c r="C7" s="136">
        <f>C4*'FORECAST ASSUMPTIONS'!D6</f>
        <v>887.82649762056337</v>
      </c>
    </row>
    <row r="8" spans="1:6">
      <c r="A8" s="134" t="s">
        <v>330</v>
      </c>
      <c r="B8" s="135">
        <f>'FINANCIAL ANALYSIS'!F18</f>
        <v>5242</v>
      </c>
      <c r="C8" s="136">
        <f>C4*'FORECAST ASSUMPTIONS'!B7</f>
        <v>5578.5364</v>
      </c>
    </row>
    <row r="9" spans="1:6">
      <c r="A9" s="134" t="s">
        <v>331</v>
      </c>
      <c r="B9" s="135">
        <f>'FINANCIAL ANALYSIS'!F20</f>
        <v>30481</v>
      </c>
      <c r="C9" s="136">
        <f>C4*'FORECAST ASSUMPTIONS'!D8</f>
        <v>34697.053821468042</v>
      </c>
    </row>
    <row r="10" spans="1:6">
      <c r="A10" s="134" t="s">
        <v>161</v>
      </c>
      <c r="B10" s="135">
        <f>'FINANCIAL ANALYSIS'!F30</f>
        <v>66127</v>
      </c>
      <c r="C10" s="136">
        <f>C11+C7</f>
        <v>68903.932197523551</v>
      </c>
    </row>
    <row r="11" spans="1:6">
      <c r="A11" s="134" t="s">
        <v>332</v>
      </c>
      <c r="B11" s="135">
        <f>'FINANCIAL ANALYSIS'!F31</f>
        <v>65331</v>
      </c>
      <c r="C11" s="136">
        <f>C4-(C5+C6+C7+C8+C9)</f>
        <v>68016.105699902982</v>
      </c>
    </row>
    <row r="12" spans="1:6">
      <c r="A12" s="134" t="s">
        <v>340</v>
      </c>
      <c r="B12" s="135">
        <f>'FINANCIAL ANALYSIS'!F32</f>
        <v>16534</v>
      </c>
      <c r="C12" s="136">
        <f>C11*'FORECAST ASSUMPTIONS'!D9</f>
        <v>17387.036300775952</v>
      </c>
    </row>
    <row r="13" spans="1:6">
      <c r="A13" s="137" t="s">
        <v>336</v>
      </c>
      <c r="B13" s="138">
        <f>'FINANCIAL ANALYSIS'!F33</f>
        <v>48797</v>
      </c>
      <c r="C13" s="139">
        <f>C11-C12</f>
        <v>50629.069399127031</v>
      </c>
    </row>
    <row r="14" spans="1:6">
      <c r="A14" s="261"/>
      <c r="B14" s="261"/>
      <c r="C14" s="261"/>
    </row>
    <row r="15" spans="1:6" ht="15.6">
      <c r="A15" s="276" t="s">
        <v>345</v>
      </c>
      <c r="B15" s="277"/>
      <c r="C15" s="278"/>
    </row>
    <row r="16" spans="1:6">
      <c r="A16" s="48" t="s">
        <v>390</v>
      </c>
      <c r="B16" s="132" t="s">
        <v>326</v>
      </c>
      <c r="C16" s="133" t="s">
        <v>301</v>
      </c>
      <c r="F16" s="36"/>
    </row>
    <row r="17" spans="1:3">
      <c r="A17" s="48" t="s">
        <v>171</v>
      </c>
      <c r="B17" s="36">
        <f>'FINANCIAL ANALYSIS'!F48+'FINANCIAL ANALYSIS'!F49</f>
        <v>59046</v>
      </c>
      <c r="C17" s="140">
        <f>C4*('FORECAST ASSUMPTIONS'!D10/365)</f>
        <v>60678.669107007474</v>
      </c>
    </row>
    <row r="18" spans="1:3">
      <c r="A18" s="48" t="s">
        <v>173</v>
      </c>
      <c r="B18" s="36">
        <f>'FINANCIAL ANALYSIS'!F50</f>
        <v>13909</v>
      </c>
      <c r="C18" s="140">
        <f>C4*('FORECAST ASSUMPTIONS'!D11/365)</f>
        <v>16719.465689283868</v>
      </c>
    </row>
    <row r="19" spans="1:3">
      <c r="A19" s="48" t="str">
        <f>'FINANCIAL ANALYSIS'!A51</f>
        <v>Unearned &amp; Deferred Revenue</v>
      </c>
      <c r="B19" s="36">
        <f>'FINANCIAL ANALYSIS'!F51</f>
        <v>4028</v>
      </c>
      <c r="C19" s="140">
        <f>C4*'FORECAST ASSUMPTIONS'!D13</f>
        <v>4196.1718907747418</v>
      </c>
    </row>
    <row r="20" spans="1:3">
      <c r="A20" s="48" t="s">
        <v>347</v>
      </c>
      <c r="B20" s="36">
        <f>B17-B18-B19</f>
        <v>41109</v>
      </c>
      <c r="C20" s="140">
        <f>C17-C18-C19</f>
        <v>39763.031526948864</v>
      </c>
    </row>
    <row r="21" spans="1:3">
      <c r="A21" s="49" t="s">
        <v>348</v>
      </c>
      <c r="B21" s="51" t="s">
        <v>346</v>
      </c>
      <c r="C21" s="141">
        <f>C20-B20</f>
        <v>-1345.9684730511362</v>
      </c>
    </row>
    <row r="22" spans="1:3">
      <c r="A22" s="261"/>
      <c r="B22" s="261"/>
      <c r="C22" s="261"/>
    </row>
    <row r="23" spans="1:3" ht="15.6">
      <c r="A23" s="276" t="s">
        <v>349</v>
      </c>
      <c r="B23" s="277"/>
      <c r="C23" s="278"/>
    </row>
    <row r="24" spans="1:3">
      <c r="A24" s="48" t="s">
        <v>390</v>
      </c>
      <c r="B24" s="132" t="s">
        <v>326</v>
      </c>
      <c r="C24" s="133" t="s">
        <v>301</v>
      </c>
    </row>
    <row r="25" spans="1:3">
      <c r="A25" s="48" t="s">
        <v>350</v>
      </c>
      <c r="B25" s="36">
        <f>B13</f>
        <v>48797</v>
      </c>
      <c r="C25" s="140">
        <f>C13</f>
        <v>50629.069399127031</v>
      </c>
    </row>
    <row r="26" spans="1:3">
      <c r="A26" s="48" t="s">
        <v>180</v>
      </c>
      <c r="B26" s="36">
        <f>'FINANCIAL ANALYSIS'!F60</f>
        <v>48908</v>
      </c>
      <c r="C26" s="140">
        <f>C25+C8-C21</f>
        <v>57553.574272178164</v>
      </c>
    </row>
    <row r="27" spans="1:3">
      <c r="A27" s="48" t="s">
        <v>351</v>
      </c>
      <c r="B27" s="36">
        <f>'FINANCIAL ANALYSIS'!F63</f>
        <v>-3861</v>
      </c>
      <c r="C27" s="140">
        <f>C4*'FORECAST ASSUMPTIONS'!D12</f>
        <v>-3545.5909714308846</v>
      </c>
    </row>
    <row r="28" spans="1:3">
      <c r="A28" s="49" t="s">
        <v>184</v>
      </c>
      <c r="B28" s="142">
        <f>'FINANCIAL ANALYSIS'!F64</f>
        <v>45047</v>
      </c>
      <c r="C28" s="141">
        <f>C26+C27</f>
        <v>54007.983300747277</v>
      </c>
    </row>
  </sheetData>
  <mergeCells count="6">
    <mergeCell ref="A23:C23"/>
    <mergeCell ref="A1:C1"/>
    <mergeCell ref="A14:C14"/>
    <mergeCell ref="A15:C15"/>
    <mergeCell ref="A2:C2"/>
    <mergeCell ref="A22:C22"/>
  </mergeCells>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12E8-18C3-4893-868E-6F53467C047C}">
  <sheetPr>
    <tabColor theme="4" tint="0.79998168889431442"/>
  </sheetPr>
  <dimension ref="A1:F32"/>
  <sheetViews>
    <sheetView topLeftCell="A6" zoomScale="85" zoomScaleNormal="85" workbookViewId="0">
      <selection activeCell="H26" sqref="H26"/>
    </sheetView>
  </sheetViews>
  <sheetFormatPr defaultRowHeight="14.4"/>
  <cols>
    <col min="1" max="1" width="21.5546875" bestFit="1" customWidth="1"/>
    <col min="2" max="2" width="14.6640625" customWidth="1"/>
    <col min="3" max="3" width="16.6640625" customWidth="1"/>
    <col min="4" max="4" width="11.77734375" bestFit="1" customWidth="1"/>
    <col min="5" max="5" width="12" customWidth="1"/>
    <col min="6" max="6" width="7.77734375" customWidth="1"/>
  </cols>
  <sheetData>
    <row r="1" spans="1:6" ht="25.8">
      <c r="A1" s="281" t="s">
        <v>392</v>
      </c>
      <c r="B1" s="281"/>
      <c r="C1" s="281"/>
      <c r="D1" s="281"/>
      <c r="E1" s="281"/>
      <c r="F1" s="281"/>
    </row>
    <row r="2" spans="1:6" ht="15.6">
      <c r="A2" s="280" t="s">
        <v>355</v>
      </c>
      <c r="B2" s="280"/>
      <c r="C2" s="280"/>
      <c r="D2" s="280"/>
      <c r="E2" s="280"/>
      <c r="F2" s="280"/>
    </row>
    <row r="3" spans="1:6">
      <c r="A3" s="143" t="s">
        <v>390</v>
      </c>
      <c r="B3" s="144" t="s">
        <v>326</v>
      </c>
      <c r="C3" s="144" t="s">
        <v>301</v>
      </c>
      <c r="D3" s="144" t="s">
        <v>352</v>
      </c>
      <c r="E3" s="144" t="s">
        <v>353</v>
      </c>
      <c r="F3" s="144" t="s">
        <v>354</v>
      </c>
    </row>
    <row r="4" spans="1:6">
      <c r="A4" t="str">
        <f>'FINANCIAL FORECAST'!A4</f>
        <v>Revenue from Operations</v>
      </c>
      <c r="B4" s="36">
        <f>'FINANCIAL FORECAST'!B4</f>
        <v>255324</v>
      </c>
      <c r="C4" s="36">
        <f>'FINANCIAL FORECAST'!C4</f>
        <v>271715.80080000003</v>
      </c>
      <c r="D4" s="36">
        <f>C4-B4</f>
        <v>16391.800800000026</v>
      </c>
      <c r="E4" s="52">
        <f>D4/B4</f>
        <v>6.4200000000000104E-2</v>
      </c>
      <c r="F4" t="str">
        <f>IF(D4&gt;0,"F",IF(D4&lt;0,"UF"))</f>
        <v>F</v>
      </c>
    </row>
    <row r="5" spans="1:6">
      <c r="A5" s="261"/>
      <c r="B5" s="261"/>
      <c r="C5" s="261"/>
      <c r="D5" s="261"/>
      <c r="E5" s="261"/>
      <c r="F5" s="261"/>
    </row>
    <row r="6" spans="1:6" ht="15.6">
      <c r="A6" s="280" t="s">
        <v>356</v>
      </c>
      <c r="B6" s="280"/>
      <c r="C6" s="280"/>
      <c r="D6" s="280"/>
      <c r="E6" s="280"/>
      <c r="F6" s="280"/>
    </row>
    <row r="7" spans="1:6">
      <c r="A7" s="143" t="s">
        <v>390</v>
      </c>
      <c r="B7" s="144" t="s">
        <v>326</v>
      </c>
      <c r="C7" s="144" t="s">
        <v>301</v>
      </c>
      <c r="D7" s="144" t="s">
        <v>352</v>
      </c>
      <c r="E7" s="144" t="s">
        <v>353</v>
      </c>
      <c r="F7" s="144" t="s">
        <v>354</v>
      </c>
    </row>
    <row r="8" spans="1:6">
      <c r="A8" t="str">
        <f>'FINANCIAL FORECAST'!A5</f>
        <v>Employee Benefit Expense</v>
      </c>
      <c r="B8" s="36">
        <f>'FINANCIAL FORECAST'!B5</f>
        <v>145788</v>
      </c>
      <c r="C8" s="36">
        <f>'FINANCIAL FORECAST'!C5</f>
        <v>154250.53797055566</v>
      </c>
      <c r="D8" s="36">
        <f t="shared" ref="D8:D13" si="0">B8-C8</f>
        <v>-8462.5379705556552</v>
      </c>
      <c r="E8" s="52">
        <f>D8/B8</f>
        <v>-5.8046876084147221E-2</v>
      </c>
      <c r="F8" t="str">
        <f t="shared" ref="F8:F13" si="1">IF(D8&gt;0,"F",IF(D8&lt;0,"UF"))</f>
        <v>UF</v>
      </c>
    </row>
    <row r="9" spans="1:6">
      <c r="A9" t="str">
        <f>'FINANCIAL FORECAST'!A6</f>
        <v>Equipment &amp; Software</v>
      </c>
      <c r="B9" s="36">
        <f>'FINANCIAL FORECAST'!B6</f>
        <v>11648</v>
      </c>
      <c r="C9" s="36">
        <f>'FINANCIAL FORECAST'!C6</f>
        <v>8285.7404104527741</v>
      </c>
      <c r="D9" s="36">
        <f t="shared" si="0"/>
        <v>3362.2595895472259</v>
      </c>
      <c r="E9" s="52">
        <f t="shared" ref="E9:E13" si="2">D9/B9</f>
        <v>0.28865552794876598</v>
      </c>
      <c r="F9" t="str">
        <f t="shared" si="1"/>
        <v>F</v>
      </c>
    </row>
    <row r="10" spans="1:6">
      <c r="A10" t="str">
        <f>'FINANCIAL FORECAST'!A7</f>
        <v>Finance Cost</v>
      </c>
      <c r="B10" s="36">
        <f>'FINANCIAL FORECAST'!B7</f>
        <v>796</v>
      </c>
      <c r="C10" s="36">
        <f>'FINANCIAL FORECAST'!C7</f>
        <v>887.82649762056337</v>
      </c>
      <c r="D10" s="36">
        <f t="shared" si="0"/>
        <v>-91.826497620563373</v>
      </c>
      <c r="E10" s="52">
        <f t="shared" si="2"/>
        <v>-0.11535992163387358</v>
      </c>
      <c r="F10" t="str">
        <f t="shared" si="1"/>
        <v>UF</v>
      </c>
    </row>
    <row r="11" spans="1:6">
      <c r="A11" t="str">
        <f>'FINANCIAL FORECAST'!A8</f>
        <v>D&amp;A</v>
      </c>
      <c r="B11" s="36">
        <f>'FINANCIAL FORECAST'!B8</f>
        <v>5242</v>
      </c>
      <c r="C11" s="36">
        <f>'FINANCIAL FORECAST'!C8</f>
        <v>5578.5364</v>
      </c>
      <c r="D11" s="36">
        <f t="shared" si="0"/>
        <v>-336.53639999999996</v>
      </c>
      <c r="E11" s="52">
        <f t="shared" si="2"/>
        <v>-6.4199999999999993E-2</v>
      </c>
      <c r="F11" t="str">
        <f t="shared" si="1"/>
        <v>UF</v>
      </c>
    </row>
    <row r="12" spans="1:6">
      <c r="A12" t="str">
        <f>'FINANCIAL FORECAST'!A9</f>
        <v>Other Operating Expenses</v>
      </c>
      <c r="B12" s="36">
        <f>'FINANCIAL FORECAST'!B9</f>
        <v>30481</v>
      </c>
      <c r="C12" s="36">
        <f>'FINANCIAL FORECAST'!C9</f>
        <v>34697.053821468042</v>
      </c>
      <c r="D12" s="36">
        <f t="shared" si="0"/>
        <v>-4216.0538214680419</v>
      </c>
      <c r="E12" s="52">
        <f t="shared" si="2"/>
        <v>-0.1383174377962679</v>
      </c>
      <c r="F12" t="str">
        <f t="shared" si="1"/>
        <v>UF</v>
      </c>
    </row>
    <row r="13" spans="1:6">
      <c r="A13" t="str">
        <f>'FINANCIAL FORECAST'!A12</f>
        <v>Tax expenses</v>
      </c>
      <c r="B13" s="36">
        <f>'FINANCIAL FORECAST'!B12</f>
        <v>16534</v>
      </c>
      <c r="C13" s="36">
        <f>'FINANCIAL FORECAST'!C12</f>
        <v>17387.036300775952</v>
      </c>
      <c r="D13" s="36">
        <f t="shared" si="0"/>
        <v>-853.03630077595153</v>
      </c>
      <c r="E13" s="52">
        <f t="shared" si="2"/>
        <v>-5.1592857189787802E-2</v>
      </c>
      <c r="F13" t="str">
        <f t="shared" si="1"/>
        <v>UF</v>
      </c>
    </row>
    <row r="14" spans="1:6">
      <c r="A14" s="261"/>
      <c r="B14" s="261"/>
      <c r="C14" s="261"/>
      <c r="D14" s="261"/>
      <c r="E14" s="261"/>
      <c r="F14" s="261"/>
    </row>
    <row r="15" spans="1:6" ht="15.6">
      <c r="A15" s="280" t="s">
        <v>359</v>
      </c>
      <c r="B15" s="280"/>
      <c r="C15" s="280"/>
      <c r="D15" s="280"/>
      <c r="E15" s="280"/>
      <c r="F15" s="280"/>
    </row>
    <row r="16" spans="1:6">
      <c r="A16" s="143" t="s">
        <v>390</v>
      </c>
      <c r="B16" s="144" t="s">
        <v>326</v>
      </c>
      <c r="C16" s="144" t="s">
        <v>301</v>
      </c>
      <c r="D16" s="144" t="s">
        <v>352</v>
      </c>
      <c r="E16" s="144" t="s">
        <v>353</v>
      </c>
      <c r="F16" s="144" t="s">
        <v>354</v>
      </c>
    </row>
    <row r="17" spans="1:6">
      <c r="A17" t="str">
        <f>'FINANCIAL FORECAST'!A10</f>
        <v>EBIT</v>
      </c>
      <c r="B17" s="36">
        <f>'FINANCIAL FORECAST'!B10</f>
        <v>66127</v>
      </c>
      <c r="C17" s="36">
        <f>'FINANCIAL FORECAST'!C10</f>
        <v>68903.932197523551</v>
      </c>
      <c r="D17" s="36">
        <f>C17-B17</f>
        <v>2776.9321975235507</v>
      </c>
      <c r="E17" s="175">
        <f>D17/B17</f>
        <v>4.1993923775818509E-2</v>
      </c>
      <c r="F17" t="str">
        <f>IF(D17&gt;0,"F",IF(D17&lt;0,"UF"))</f>
        <v>F</v>
      </c>
    </row>
    <row r="18" spans="1:6">
      <c r="A18" t="str">
        <f>'FINANCIAL FORECAST'!A11</f>
        <v>PBT</v>
      </c>
      <c r="B18" s="36">
        <f>'FINANCIAL FORECAST'!B11</f>
        <v>65331</v>
      </c>
      <c r="C18" s="36">
        <f>'FINANCIAL FORECAST'!C11</f>
        <v>68016.105699902982</v>
      </c>
      <c r="D18" s="36">
        <f t="shared" ref="D18:D19" si="3">C18-B18</f>
        <v>2685.1056999029825</v>
      </c>
      <c r="E18" s="175">
        <f t="shared" ref="E18:E19" si="4">D18/B18</f>
        <v>4.1100024489185573E-2</v>
      </c>
      <c r="F18" t="str">
        <f>IF(D18&gt;0,"F",IF(D18&lt;0,"UF"))</f>
        <v>F</v>
      </c>
    </row>
    <row r="19" spans="1:6">
      <c r="A19" t="str">
        <f>'FINANCIAL FORECAST'!A13</f>
        <v>net profit</v>
      </c>
      <c r="B19" s="36">
        <f>'FINANCIAL FORECAST'!B13</f>
        <v>48797</v>
      </c>
      <c r="C19" s="36">
        <f>'FINANCIAL FORECAST'!C13</f>
        <v>50629.069399127031</v>
      </c>
      <c r="D19" s="36">
        <f t="shared" si="3"/>
        <v>1832.0693991270309</v>
      </c>
      <c r="E19" s="175">
        <f t="shared" si="4"/>
        <v>3.7544713796484025E-2</v>
      </c>
      <c r="F19" t="str">
        <f>IF(D19&gt;0,"F",IF(D19&lt;0,"UF"))</f>
        <v>F</v>
      </c>
    </row>
    <row r="20" spans="1:6">
      <c r="A20" s="261"/>
      <c r="B20" s="261"/>
      <c r="C20" s="261"/>
      <c r="D20" s="261"/>
      <c r="E20" s="261"/>
      <c r="F20" s="261"/>
    </row>
    <row r="21" spans="1:6" ht="15.6">
      <c r="A21" s="280" t="s">
        <v>175</v>
      </c>
      <c r="B21" s="280"/>
      <c r="C21" s="280"/>
      <c r="D21" s="280"/>
      <c r="E21" s="280"/>
      <c r="F21" s="280"/>
    </row>
    <row r="22" spans="1:6">
      <c r="A22" s="143" t="s">
        <v>390</v>
      </c>
      <c r="B22" s="144" t="s">
        <v>326</v>
      </c>
      <c r="C22" s="144" t="s">
        <v>301</v>
      </c>
      <c r="D22" s="144" t="s">
        <v>352</v>
      </c>
      <c r="E22" s="144" t="s">
        <v>353</v>
      </c>
      <c r="F22" s="144" t="s">
        <v>354</v>
      </c>
    </row>
    <row r="23" spans="1:6">
      <c r="A23" t="str">
        <f>'FINANCIAL FORECAST'!A17</f>
        <v>Trade Receivables</v>
      </c>
      <c r="B23" s="36">
        <f>'FINANCIAL FORECAST'!B17</f>
        <v>59046</v>
      </c>
      <c r="C23" s="36">
        <f>'FINANCIAL FORECAST'!C17</f>
        <v>60678.669107007474</v>
      </c>
      <c r="D23" s="36">
        <f>B23-C23</f>
        <v>-1632.6691070074739</v>
      </c>
      <c r="E23" s="52">
        <f>D23/B23</f>
        <v>-2.7650799495435321E-2</v>
      </c>
      <c r="F23" t="str">
        <f>IF(D23&gt;0,"F",IF(D23&lt;0,"UF"))</f>
        <v>UF</v>
      </c>
    </row>
    <row r="24" spans="1:6">
      <c r="A24" t="str">
        <f>'FINANCIAL FORECAST'!A18</f>
        <v>Trade Payables</v>
      </c>
      <c r="B24" s="36">
        <f>'FINANCIAL FORECAST'!B18</f>
        <v>13909</v>
      </c>
      <c r="C24" s="36">
        <f>'FINANCIAL FORECAST'!C18</f>
        <v>16719.465689283868</v>
      </c>
      <c r="D24" s="36">
        <f>C24-B24</f>
        <v>2810.4656892838684</v>
      </c>
      <c r="E24" s="52">
        <f t="shared" ref="E24:E26" si="5">D24/B24</f>
        <v>0.20206094537952896</v>
      </c>
      <c r="F24" t="str">
        <f>IF(D24&gt;0,"F",IF(D24&lt;0,"UF"))</f>
        <v>F</v>
      </c>
    </row>
    <row r="25" spans="1:6">
      <c r="A25" t="str">
        <f>'FINANCIAL FORECAST'!A19</f>
        <v>Unearned &amp; Deferred Revenue</v>
      </c>
      <c r="B25" s="36">
        <f>'FINANCIAL FORECAST'!B19</f>
        <v>4028</v>
      </c>
      <c r="C25" s="36">
        <f>'FINANCIAL FORECAST'!C19</f>
        <v>4196.1718907747418</v>
      </c>
      <c r="D25" s="36">
        <f>C25-B25</f>
        <v>168.17189077474177</v>
      </c>
      <c r="E25" s="175">
        <f t="shared" si="5"/>
        <v>4.1750717669995475E-2</v>
      </c>
      <c r="F25" t="str">
        <f>IF(D25&gt;0,"F",IF(D25&lt;0,"UF"))</f>
        <v>F</v>
      </c>
    </row>
    <row r="26" spans="1:6">
      <c r="A26" t="str">
        <f>'FINANCIAL FORECAST'!A20</f>
        <v>Operating  Working Capital</v>
      </c>
      <c r="B26" s="36">
        <f>'FINANCIAL FORECAST'!B20</f>
        <v>41109</v>
      </c>
      <c r="C26" s="36">
        <f>'FINANCIAL FORECAST'!C20</f>
        <v>39763.031526948864</v>
      </c>
      <c r="D26" s="36">
        <f>B26-C26</f>
        <v>1345.9684730511362</v>
      </c>
      <c r="E26" s="175">
        <f t="shared" si="5"/>
        <v>3.2741454986770203E-2</v>
      </c>
      <c r="F26" t="str">
        <f>IF(D26&gt;0,"F",IF(D26&lt;0,"UF"))</f>
        <v>F</v>
      </c>
    </row>
    <row r="27" spans="1:6">
      <c r="A27" s="261"/>
      <c r="B27" s="261"/>
      <c r="C27" s="261"/>
      <c r="D27" s="261"/>
      <c r="E27" s="261"/>
      <c r="F27" s="261"/>
    </row>
    <row r="28" spans="1:6" ht="15.6">
      <c r="A28" s="280" t="s">
        <v>357</v>
      </c>
      <c r="B28" s="280"/>
      <c r="C28" s="280"/>
      <c r="D28" s="280"/>
      <c r="E28" s="280"/>
      <c r="F28" s="280"/>
    </row>
    <row r="29" spans="1:6">
      <c r="A29" s="143" t="s">
        <v>390</v>
      </c>
      <c r="B29" s="144" t="s">
        <v>326</v>
      </c>
      <c r="C29" s="144" t="s">
        <v>301</v>
      </c>
      <c r="D29" s="144" t="s">
        <v>352</v>
      </c>
      <c r="E29" s="144" t="s">
        <v>353</v>
      </c>
      <c r="F29" s="144" t="s">
        <v>354</v>
      </c>
    </row>
    <row r="30" spans="1:6">
      <c r="A30" t="str">
        <f>'FINANCIAL FORECAST'!A26</f>
        <v>Operating Cash Flow</v>
      </c>
      <c r="B30" s="36">
        <f>'FINANCIAL FORECAST'!B26</f>
        <v>48908</v>
      </c>
      <c r="C30" s="36">
        <f>'FINANCIAL FORECAST'!C26</f>
        <v>57553.574272178164</v>
      </c>
      <c r="D30" s="36">
        <f>C30-B30</f>
        <v>8645.5742721781644</v>
      </c>
      <c r="E30" s="52">
        <f>D30/B30</f>
        <v>0.17677219007479686</v>
      </c>
      <c r="F30" t="str">
        <f>IF(D30&gt;0,"F",IF(D30&lt;0,"UF"))</f>
        <v>F</v>
      </c>
    </row>
    <row r="31" spans="1:6">
      <c r="A31" t="str">
        <f>'FINANCIAL FORECAST'!A27</f>
        <v>capex</v>
      </c>
      <c r="B31" s="36">
        <f>'FINANCIAL FORECAST'!B27</f>
        <v>-3861</v>
      </c>
      <c r="C31" s="36">
        <f>'FINANCIAL FORECAST'!C27</f>
        <v>-3545.5909714308846</v>
      </c>
      <c r="D31" s="36">
        <f>C31-B31</f>
        <v>315.40902856911543</v>
      </c>
      <c r="E31" s="175">
        <f>315.41/3861</f>
        <v>8.1691271691271702E-2</v>
      </c>
      <c r="F31" t="str">
        <f>IF(D31&gt;0,"F",IF(D31&lt;0,"UF"))</f>
        <v>F</v>
      </c>
    </row>
    <row r="32" spans="1:6">
      <c r="A32" t="str">
        <f>'FINANCIAL FORECAST'!A28</f>
        <v>Free Cash Flow</v>
      </c>
      <c r="B32" s="36">
        <f>'FINANCIAL FORECAST'!B28</f>
        <v>45047</v>
      </c>
      <c r="C32" s="36">
        <f>'FINANCIAL FORECAST'!C28</f>
        <v>54007.983300747277</v>
      </c>
      <c r="D32" s="36">
        <f>C32-B32</f>
        <v>8960.9833007472771</v>
      </c>
      <c r="E32" s="52">
        <f t="shared" ref="E32" si="6">D32/B32</f>
        <v>0.1989251959230865</v>
      </c>
      <c r="F32" t="str">
        <f>IF(D32&gt;0,"F",IF(D32&lt;0,"UF"))</f>
        <v>F</v>
      </c>
    </row>
  </sheetData>
  <mergeCells count="10">
    <mergeCell ref="A5:F5"/>
    <mergeCell ref="A20:F20"/>
    <mergeCell ref="A1:F1"/>
    <mergeCell ref="A2:F2"/>
    <mergeCell ref="A6:F6"/>
    <mergeCell ref="A21:F21"/>
    <mergeCell ref="A27:F27"/>
    <mergeCell ref="A28:F28"/>
    <mergeCell ref="A14:F14"/>
    <mergeCell ref="A15:F15"/>
  </mergeCells>
  <phoneticPr fontId="3" type="noConversion"/>
  <conditionalFormatting sqref="E8:E13 E4 E17:E19 E23:E26 E30:E32">
    <cfRule type="colorScale" priority="7">
      <colorScale>
        <cfvo type="percent" val="&quot;negative&quot;"/>
        <cfvo type="max"/>
        <color rgb="FFC00000"/>
        <color theme="6" tint="0.39997558519241921"/>
      </colorScale>
    </cfRule>
  </conditionalFormatting>
  <conditionalFormatting sqref="F4 F8:F13 F17:F19 F23:F26 F30:F32">
    <cfRule type="containsText" dxfId="2" priority="1" operator="containsText" text="UF">
      <formula>NOT(ISERROR(SEARCH("UF",F4)))</formula>
    </cfRule>
    <cfRule type="containsText" dxfId="1" priority="2" operator="containsText" text="F">
      <formula>NOT(ISERROR(SEARCH("F",F4)))</formula>
    </cfRule>
    <cfRule type="expression" dxfId="0" priority="3">
      <formula>"if(F4"</formula>
    </cfRule>
  </conditionalFormatting>
  <pageMargins left="0.7" right="0.7" top="0.75" bottom="0.75" header="0.3" footer="0.3"/>
  <pageSetup orientation="portrait" r:id="rId1"/>
  <ignoredErrors>
    <ignoredError sqref="E31" calculatedColumn="1"/>
  </ignoredErrors>
  <tableParts count="5">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2F693-5AE9-412A-AD32-AD632E7FBB34}">
  <sheetPr>
    <tabColor theme="4" tint="0.59999389629810485"/>
  </sheetPr>
  <dimension ref="A1:B9"/>
  <sheetViews>
    <sheetView zoomScale="85" zoomScaleNormal="85" workbookViewId="0">
      <selection activeCell="F8" sqref="F8"/>
    </sheetView>
  </sheetViews>
  <sheetFormatPr defaultRowHeight="14.4"/>
  <cols>
    <col min="1" max="1" width="23.109375" bestFit="1" customWidth="1"/>
    <col min="2" max="2" width="80.109375" customWidth="1"/>
    <col min="3" max="3" width="8.77734375" customWidth="1"/>
  </cols>
  <sheetData>
    <row r="1" spans="1:2" ht="21">
      <c r="A1" s="282" t="s">
        <v>358</v>
      </c>
      <c r="B1" s="282"/>
    </row>
    <row r="2" spans="1:2" ht="28.8">
      <c r="A2" s="145" t="s">
        <v>218</v>
      </c>
      <c r="B2" s="146" t="s">
        <v>360</v>
      </c>
    </row>
    <row r="3" spans="1:2" ht="43.2">
      <c r="A3" s="145" t="s">
        <v>359</v>
      </c>
      <c r="B3" s="146" t="s">
        <v>362</v>
      </c>
    </row>
    <row r="4" spans="1:2" ht="43.2">
      <c r="A4" s="145" t="s">
        <v>246</v>
      </c>
      <c r="B4" s="146" t="s">
        <v>361</v>
      </c>
    </row>
    <row r="5" spans="1:2" ht="43.2">
      <c r="A5" s="145" t="s">
        <v>251</v>
      </c>
      <c r="B5" s="146" t="s">
        <v>393</v>
      </c>
    </row>
    <row r="6" spans="1:2" ht="28.8">
      <c r="A6" s="145" t="s">
        <v>175</v>
      </c>
      <c r="B6" s="147" t="s">
        <v>394</v>
      </c>
    </row>
    <row r="7" spans="1:2" ht="28.8">
      <c r="A7" s="145" t="s">
        <v>180</v>
      </c>
      <c r="B7" s="147" t="s">
        <v>395</v>
      </c>
    </row>
    <row r="8" spans="1:2" ht="43.2">
      <c r="A8" s="145" t="s">
        <v>184</v>
      </c>
      <c r="B8" s="176" t="s">
        <v>396</v>
      </c>
    </row>
    <row r="9" spans="1:2" ht="86.4">
      <c r="A9" s="145" t="s">
        <v>363</v>
      </c>
      <c r="B9" s="148" t="s">
        <v>397</v>
      </c>
    </row>
  </sheetData>
  <mergeCells count="1">
    <mergeCell ref="A1:B1"/>
  </mergeCells>
  <pageMargins left="0.7" right="0.7" top="0.75" bottom="0.75" header="0.3" footer="0.3"/>
  <pageSetup paperSize="9" scale="12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cover</vt:lpstr>
      <vt:lpstr>dashboard</vt:lpstr>
      <vt:lpstr>HISTORICAL FINANCIALS</vt:lpstr>
      <vt:lpstr>FINANCIAL ANALYSIS</vt:lpstr>
      <vt:lpstr>ASSUMPTIONS &amp; METHODOLOGY</vt:lpstr>
      <vt:lpstr>FORECAST ASSUMPTIONS</vt:lpstr>
      <vt:lpstr>FINANCIAL FORECAST</vt:lpstr>
      <vt:lpstr>Forecast Variance Analysis</vt:lpstr>
      <vt:lpstr>Conclusions &amp; Interpretations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 p</dc:creator>
  <cp:lastModifiedBy>jishnu p</cp:lastModifiedBy>
  <cp:lastPrinted>2026-08-21T11:00:18Z</cp:lastPrinted>
  <dcterms:created xsi:type="dcterms:W3CDTF">2026-07-28T14:48:58Z</dcterms:created>
  <dcterms:modified xsi:type="dcterms:W3CDTF">2026-08-21T11:00:42Z</dcterms:modified>
</cp:coreProperties>
</file>